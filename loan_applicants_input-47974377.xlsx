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New_Applicants" sheetId="1" state="visible" r:id="rId3"/>
    <sheet name="History" sheetId="2" state="visible" r:id="rId4"/>
    <sheet name="Results" sheetId="3" state="visible" r:id="rId5"/>
    <sheet name="_sync_state" sheetId="4" state="hidden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G1" authorId="0">
      <text>
        <r>
          <rPr>
            <sz val="10"/>
            <rFont val="Arial"/>
            <family val="2"/>
          </rPr>
          <t xml:space="preserve">Rule: Credit_Score &gt;= 650 AND (Monthly_Income - Existing_EMI) &gt;= 30000 AND Loan_Amount &lt;= 4*12*Monthly_Income. Recalculates by itself when B:F change.</t>
        </r>
      </text>
    </comment>
    <comment ref="H1" authorId="0">
      <text>
        <r>
          <rPr>
            <sz val="10"/>
            <rFont val="Arial"/>
            <family val="2"/>
          </rPr>
          <t xml:space="preserve">Decision tree learned from the History sheet, written as an Excel formula. Recalculates by itself when B:F change. Re-run the notebook to retrain after History changes.</t>
        </r>
      </text>
    </comment>
  </commentList>
</comments>
</file>

<file path=xl/sharedStrings.xml><?xml version="1.0" encoding="utf-8"?>
<sst xmlns="http://schemas.openxmlformats.org/spreadsheetml/2006/main" count="650" uniqueCount="15">
  <si>
    <t xml:space="preserve">Applicant_ID</t>
  </si>
  <si>
    <t xml:space="preserve">Age</t>
  </si>
  <si>
    <t xml:space="preserve">Monthly_Income</t>
  </si>
  <si>
    <t xml:space="preserve">Credit_Score</t>
  </si>
  <si>
    <t xml:space="preserve">Loan_Amount</t>
  </si>
  <si>
    <t xml:space="preserve">Existing_EMI</t>
  </si>
  <si>
    <t xml:space="preserve">Approved</t>
  </si>
  <si>
    <t xml:space="preserve">Yes</t>
  </si>
  <si>
    <t xml:space="preserve">No</t>
  </si>
  <si>
    <t xml:space="preserve">Traditional_Decision</t>
  </si>
  <si>
    <t xml:space="preserve">ML_Decision</t>
  </si>
  <si>
    <t xml:space="preserve">Same_Decision</t>
  </si>
  <si>
    <t xml:space="preserve">Table</t>
  </si>
  <si>
    <t xml:space="preserve">New</t>
  </si>
  <si>
    <t xml:space="preserve">History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</si>
</sst>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" hidden="false" customHeight="false" outlineLevel="0" collapsed="false">
      <c r="A2" s="2" t="n">
        <v>1001</v>
      </c>
      <c r="B2" s="2" t="n">
        <v>54</v>
      </c>
      <c r="C2" s="2" t="n">
        <v>48489</v>
      </c>
      <c r="D2" s="2" t="n">
        <v>592</v>
      </c>
      <c r="E2" s="2" t="n">
        <v>653320</v>
      </c>
      <c r="F2" s="2" t="n">
        <v>14016</v>
      </c>
    </row>
    <row r="3" customFormat="false" ht="15" hidden="false" customHeight="false" outlineLevel="0" collapsed="false">
      <c r="A3" s="2" t="n">
        <v>1002</v>
      </c>
      <c r="B3" s="2" t="n">
        <v>39</v>
      </c>
      <c r="C3" s="2" t="n">
        <v>115311</v>
      </c>
      <c r="D3" s="2" t="n">
        <v>680</v>
      </c>
      <c r="E3" s="2" t="n">
        <v>1099863</v>
      </c>
      <c r="F3" s="2" t="n">
        <v>25236</v>
      </c>
    </row>
    <row r="4" customFormat="false" ht="15" hidden="false" customHeight="false" outlineLevel="0" collapsed="false">
      <c r="A4" s="2" t="n">
        <v>1003</v>
      </c>
      <c r="B4" s="2" t="n">
        <v>58</v>
      </c>
      <c r="C4" s="2" t="n">
        <v>96852</v>
      </c>
      <c r="D4" s="2" t="n">
        <v>776</v>
      </c>
      <c r="E4" s="2" t="n">
        <v>463562</v>
      </c>
      <c r="F4" s="2" t="n">
        <v>15892</v>
      </c>
    </row>
    <row r="5" customFormat="false" ht="15" hidden="false" customHeight="false" outlineLevel="0" collapsed="false">
      <c r="A5" s="2" t="n">
        <v>1004</v>
      </c>
      <c r="B5" s="2" t="n">
        <v>59</v>
      </c>
      <c r="C5" s="2" t="n">
        <v>68836</v>
      </c>
      <c r="D5" s="2" t="n">
        <v>609</v>
      </c>
      <c r="E5" s="2" t="n">
        <v>103985</v>
      </c>
      <c r="F5" s="2" t="n">
        <v>7810</v>
      </c>
    </row>
    <row r="6" customFormat="false" ht="15" hidden="false" customHeight="false" outlineLevel="0" collapsed="false">
      <c r="A6" s="2" t="n">
        <v>1005</v>
      </c>
      <c r="B6" s="2" t="n">
        <v>43</v>
      </c>
      <c r="C6" s="2" t="n">
        <v>113138</v>
      </c>
      <c r="D6" s="2" t="n">
        <v>516</v>
      </c>
      <c r="E6" s="2" t="n">
        <v>795983</v>
      </c>
      <c r="F6" s="2" t="n">
        <v>6870</v>
      </c>
    </row>
    <row r="7" customFormat="false" ht="15" hidden="false" customHeight="false" outlineLevel="0" collapsed="false">
      <c r="A7" s="2" t="n">
        <v>1006</v>
      </c>
      <c r="B7" s="2" t="n">
        <v>47</v>
      </c>
      <c r="C7" s="2" t="n">
        <v>60462</v>
      </c>
      <c r="D7" s="2" t="n">
        <v>517</v>
      </c>
      <c r="E7" s="2" t="n">
        <v>368968</v>
      </c>
      <c r="F7" s="2" t="n">
        <v>9674</v>
      </c>
    </row>
    <row r="8" customFormat="false" ht="15" hidden="false" customHeight="false" outlineLevel="0" collapsed="false">
      <c r="A8" s="2" t="n">
        <v>1007</v>
      </c>
      <c r="B8" s="2" t="n">
        <v>30</v>
      </c>
      <c r="C8" s="2" t="n">
        <v>29665</v>
      </c>
      <c r="D8" s="2" t="n">
        <v>798</v>
      </c>
      <c r="E8" s="2" t="n">
        <v>1095469</v>
      </c>
      <c r="F8" s="2" t="n">
        <v>17923</v>
      </c>
    </row>
    <row r="9" customFormat="false" ht="15" hidden="false" customHeight="false" outlineLevel="0" collapsed="false">
      <c r="A9" s="2" t="n">
        <v>1008</v>
      </c>
      <c r="B9" s="2" t="n">
        <v>52</v>
      </c>
      <c r="C9" s="2" t="n">
        <v>18763</v>
      </c>
      <c r="D9" s="2" t="n">
        <v>539</v>
      </c>
      <c r="E9" s="2" t="n">
        <v>2170634</v>
      </c>
      <c r="F9" s="2" t="n">
        <v>7274</v>
      </c>
    </row>
    <row r="10" customFormat="false" ht="15" hidden="false" customHeight="false" outlineLevel="0" collapsed="false">
      <c r="A10" s="2" t="n">
        <v>1009</v>
      </c>
      <c r="B10" s="2" t="n">
        <v>47</v>
      </c>
      <c r="C10" s="2" t="n">
        <v>113492</v>
      </c>
      <c r="D10" s="2" t="n">
        <v>722</v>
      </c>
      <c r="E10" s="2" t="n">
        <v>490166</v>
      </c>
      <c r="F10" s="2" t="n">
        <v>27425</v>
      </c>
    </row>
    <row r="11" customFormat="false" ht="15" hidden="false" customHeight="false" outlineLevel="0" collapsed="false">
      <c r="A11" s="2" t="n">
        <v>1010</v>
      </c>
      <c r="B11" s="2" t="n">
        <v>56</v>
      </c>
      <c r="C11" s="2" t="n">
        <v>115776</v>
      </c>
      <c r="D11" s="2" t="n">
        <v>634</v>
      </c>
      <c r="E11" s="2" t="n">
        <v>102959</v>
      </c>
      <c r="F11" s="2" t="n">
        <v>14395</v>
      </c>
    </row>
    <row r="12" customFormat="false" ht="15" hidden="false" customHeight="false" outlineLevel="0" collapsed="false">
      <c r="A12" s="2" t="n">
        <v>1011</v>
      </c>
      <c r="B12" s="2" t="n">
        <v>31</v>
      </c>
      <c r="C12" s="2" t="n">
        <v>92621</v>
      </c>
      <c r="D12" s="2" t="n">
        <v>772</v>
      </c>
      <c r="E12" s="2" t="n">
        <v>366625</v>
      </c>
      <c r="F12" s="2" t="n">
        <v>25898</v>
      </c>
    </row>
    <row r="13" customFormat="false" ht="15" hidden="false" customHeight="false" outlineLevel="0" collapsed="false">
      <c r="A13" s="2" t="n">
        <v>1012</v>
      </c>
      <c r="B13" s="2" t="n">
        <v>51</v>
      </c>
      <c r="C13" s="2" t="n">
        <v>25815</v>
      </c>
      <c r="D13" s="2" t="n">
        <v>521</v>
      </c>
      <c r="E13" s="2" t="n">
        <v>1319601</v>
      </c>
      <c r="F13" s="2" t="n">
        <v>20497</v>
      </c>
    </row>
    <row r="14" customFormat="false" ht="15" hidden="false" customHeight="false" outlineLevel="0" collapsed="false">
      <c r="A14" s="2" t="n">
        <v>1013</v>
      </c>
      <c r="B14" s="2" t="n">
        <v>39</v>
      </c>
      <c r="C14" s="2" t="n">
        <v>45833</v>
      </c>
      <c r="D14" s="2" t="n">
        <v>814</v>
      </c>
      <c r="E14" s="2" t="n">
        <v>759611</v>
      </c>
      <c r="F14" s="2" t="n">
        <v>10000</v>
      </c>
    </row>
    <row r="15" customFormat="false" ht="15" hidden="false" customHeight="false" outlineLevel="0" collapsed="false">
      <c r="A15" s="2" t="n">
        <v>1014</v>
      </c>
      <c r="B15" s="2" t="n">
        <v>28</v>
      </c>
      <c r="C15" s="2" t="n">
        <v>19313</v>
      </c>
      <c r="D15" s="2" t="n">
        <v>744</v>
      </c>
      <c r="E15" s="2" t="n">
        <v>1274804</v>
      </c>
      <c r="F15" s="2" t="n">
        <v>6847</v>
      </c>
    </row>
    <row r="16" customFormat="false" ht="15" hidden="false" customHeight="false" outlineLevel="0" collapsed="false">
      <c r="A16" s="2" t="n">
        <v>1015</v>
      </c>
      <c r="B16" s="2" t="n">
        <v>27</v>
      </c>
      <c r="C16" s="2" t="n">
        <v>20381</v>
      </c>
      <c r="D16" s="2" t="n">
        <v>657</v>
      </c>
      <c r="E16" s="2" t="n">
        <v>170194</v>
      </c>
      <c r="F16" s="2" t="n">
        <v>22318</v>
      </c>
    </row>
    <row r="17" customFormat="false" ht="15" hidden="false" customHeight="false" outlineLevel="0" collapsed="false">
      <c r="A17" s="2" t="n">
        <v>1016</v>
      </c>
      <c r="B17" s="2" t="n">
        <v>42</v>
      </c>
      <c r="C17" s="2" t="n">
        <v>40836</v>
      </c>
      <c r="D17" s="2" t="n">
        <v>572</v>
      </c>
      <c r="E17" s="2" t="n">
        <v>899425</v>
      </c>
      <c r="F17" s="2" t="n">
        <v>9922</v>
      </c>
    </row>
    <row r="18" customFormat="false" ht="15" hidden="false" customHeight="false" outlineLevel="0" collapsed="false">
      <c r="A18" s="2" t="n">
        <v>1017</v>
      </c>
      <c r="B18" s="2" t="n">
        <v>33</v>
      </c>
      <c r="C18" s="2" t="n">
        <v>75074</v>
      </c>
      <c r="D18" s="2" t="n">
        <v>841</v>
      </c>
      <c r="E18" s="2" t="n">
        <v>1084322</v>
      </c>
      <c r="F18" s="2" t="n">
        <v>7406</v>
      </c>
    </row>
    <row r="19" customFormat="false" ht="15" hidden="false" customHeight="false" outlineLevel="0" collapsed="false">
      <c r="A19" s="2" t="n">
        <v>1018</v>
      </c>
      <c r="B19" s="2" t="n">
        <v>24</v>
      </c>
      <c r="C19" s="2" t="n">
        <v>21880</v>
      </c>
      <c r="D19" s="2" t="n">
        <v>605</v>
      </c>
      <c r="E19" s="2" t="n">
        <v>1135184</v>
      </c>
      <c r="F19" s="2" t="n">
        <v>27911</v>
      </c>
    </row>
    <row r="20" customFormat="false" ht="15" hidden="false" customHeight="false" outlineLevel="0" collapsed="false">
      <c r="A20" s="2" t="n">
        <v>1019</v>
      </c>
      <c r="B20" s="2" t="n">
        <v>37</v>
      </c>
      <c r="C20" s="2" t="n">
        <v>118383</v>
      </c>
      <c r="D20" s="2" t="n">
        <v>671</v>
      </c>
      <c r="E20" s="2" t="n">
        <v>1422779</v>
      </c>
      <c r="F20" s="2" t="n">
        <v>14478</v>
      </c>
    </row>
    <row r="21" customFormat="false" ht="15" hidden="false" customHeight="false" outlineLevel="0" collapsed="false">
      <c r="A21" s="2" t="n">
        <v>1020</v>
      </c>
      <c r="B21" s="2" t="n">
        <v>46</v>
      </c>
      <c r="C21" s="2" t="n">
        <v>62787</v>
      </c>
      <c r="D21" s="2" t="n">
        <v>637</v>
      </c>
      <c r="E21" s="2" t="n">
        <v>1973394</v>
      </c>
      <c r="F21" s="2" t="n">
        <v>1457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2" t="n">
        <v>1</v>
      </c>
      <c r="B2" s="2" t="n">
        <v>24</v>
      </c>
      <c r="C2" s="2" t="n">
        <v>53457</v>
      </c>
      <c r="D2" s="2" t="n">
        <v>849</v>
      </c>
      <c r="E2" s="2" t="n">
        <v>1579081</v>
      </c>
      <c r="F2" s="2" t="n">
        <v>362</v>
      </c>
      <c r="G2" s="2" t="s">
        <v>7</v>
      </c>
    </row>
    <row r="3" customFormat="false" ht="15" hidden="false" customHeight="false" outlineLevel="0" collapsed="false">
      <c r="A3" s="2" t="n">
        <v>2</v>
      </c>
      <c r="B3" s="2" t="n">
        <v>51</v>
      </c>
      <c r="C3" s="2" t="n">
        <v>110400</v>
      </c>
      <c r="D3" s="2" t="n">
        <v>772</v>
      </c>
      <c r="E3" s="2" t="n">
        <v>1969591</v>
      </c>
      <c r="F3" s="2" t="n">
        <v>9057</v>
      </c>
      <c r="G3" s="2" t="s">
        <v>7</v>
      </c>
    </row>
    <row r="4" customFormat="false" ht="15" hidden="false" customHeight="false" outlineLevel="0" collapsed="false">
      <c r="A4" s="2" t="n">
        <v>3</v>
      </c>
      <c r="B4" s="2" t="n">
        <v>46</v>
      </c>
      <c r="C4" s="2" t="n">
        <v>66981</v>
      </c>
      <c r="D4" s="2" t="n">
        <v>612</v>
      </c>
      <c r="E4" s="2" t="n">
        <v>1873703</v>
      </c>
      <c r="F4" s="2" t="n">
        <v>15466</v>
      </c>
      <c r="G4" s="2" t="s">
        <v>7</v>
      </c>
    </row>
    <row r="5" customFormat="false" ht="15" hidden="false" customHeight="false" outlineLevel="0" collapsed="false">
      <c r="A5" s="2" t="n">
        <v>4</v>
      </c>
      <c r="B5" s="2" t="n">
        <v>38</v>
      </c>
      <c r="C5" s="2" t="n">
        <v>88469</v>
      </c>
      <c r="D5" s="2" t="n">
        <v>840</v>
      </c>
      <c r="E5" s="2" t="n">
        <v>422925</v>
      </c>
      <c r="F5" s="2" t="n">
        <v>27553</v>
      </c>
      <c r="G5" s="2" t="s">
        <v>7</v>
      </c>
    </row>
    <row r="6" customFormat="false" ht="15" hidden="false" customHeight="false" outlineLevel="0" collapsed="false">
      <c r="A6" s="2" t="n">
        <v>5</v>
      </c>
      <c r="B6" s="2" t="n">
        <v>37</v>
      </c>
      <c r="C6" s="2" t="n">
        <v>63028</v>
      </c>
      <c r="D6" s="2" t="n">
        <v>674</v>
      </c>
      <c r="E6" s="2" t="n">
        <v>2082531</v>
      </c>
      <c r="F6" s="2" t="n">
        <v>22146</v>
      </c>
      <c r="G6" s="2" t="s">
        <v>7</v>
      </c>
    </row>
    <row r="7" customFormat="false" ht="15" hidden="false" customHeight="false" outlineLevel="0" collapsed="false">
      <c r="A7" s="2" t="n">
        <v>6</v>
      </c>
      <c r="B7" s="2" t="n">
        <v>54</v>
      </c>
      <c r="C7" s="2" t="n">
        <v>42916</v>
      </c>
      <c r="D7" s="2" t="n">
        <v>675</v>
      </c>
      <c r="E7" s="2" t="n">
        <v>1386563</v>
      </c>
      <c r="F7" s="2" t="n">
        <v>23438</v>
      </c>
      <c r="G7" s="2" t="s">
        <v>8</v>
      </c>
    </row>
    <row r="8" customFormat="false" ht="15" hidden="false" customHeight="false" outlineLevel="0" collapsed="false">
      <c r="A8" s="2" t="n">
        <v>7</v>
      </c>
      <c r="B8" s="2" t="n">
        <v>24</v>
      </c>
      <c r="C8" s="2" t="n">
        <v>95244</v>
      </c>
      <c r="D8" s="2" t="n">
        <v>651</v>
      </c>
      <c r="E8" s="2" t="n">
        <v>875400</v>
      </c>
      <c r="F8" s="2" t="n">
        <v>16347</v>
      </c>
      <c r="G8" s="2" t="s">
        <v>7</v>
      </c>
    </row>
    <row r="9" customFormat="false" ht="15" hidden="false" customHeight="false" outlineLevel="0" collapsed="false">
      <c r="A9" s="2" t="n">
        <v>8</v>
      </c>
      <c r="B9" s="2" t="n">
        <v>48</v>
      </c>
      <c r="C9" s="2" t="n">
        <v>116763</v>
      </c>
      <c r="D9" s="2" t="n">
        <v>550</v>
      </c>
      <c r="E9" s="2" t="n">
        <v>1334134</v>
      </c>
      <c r="F9" s="2" t="n">
        <v>3317</v>
      </c>
      <c r="G9" s="2" t="s">
        <v>7</v>
      </c>
    </row>
    <row r="10" customFormat="false" ht="15" hidden="false" customHeight="false" outlineLevel="0" collapsed="false">
      <c r="A10" s="2" t="n">
        <v>9</v>
      </c>
      <c r="B10" s="2" t="n">
        <v>28</v>
      </c>
      <c r="C10" s="2" t="n">
        <v>42670</v>
      </c>
      <c r="D10" s="2" t="n">
        <v>827</v>
      </c>
      <c r="E10" s="2" t="n">
        <v>2420760</v>
      </c>
      <c r="F10" s="2" t="n">
        <v>11727</v>
      </c>
      <c r="G10" s="2" t="s">
        <v>7</v>
      </c>
    </row>
    <row r="11" customFormat="false" ht="15" hidden="false" customHeight="false" outlineLevel="0" collapsed="false">
      <c r="A11" s="2" t="n">
        <v>10</v>
      </c>
      <c r="B11" s="2" t="n">
        <v>24</v>
      </c>
      <c r="C11" s="2" t="n">
        <v>96768</v>
      </c>
      <c r="D11" s="2" t="n">
        <v>504</v>
      </c>
      <c r="E11" s="2" t="n">
        <v>2158173</v>
      </c>
      <c r="F11" s="2" t="n">
        <v>29911</v>
      </c>
      <c r="G11" s="2" t="s">
        <v>8</v>
      </c>
    </row>
    <row r="12" customFormat="false" ht="15" hidden="false" customHeight="false" outlineLevel="0" collapsed="false">
      <c r="A12" s="2" t="n">
        <v>11</v>
      </c>
      <c r="B12" s="2" t="n">
        <v>41</v>
      </c>
      <c r="C12" s="2" t="n">
        <v>42419</v>
      </c>
      <c r="D12" s="2" t="n">
        <v>560</v>
      </c>
      <c r="E12" s="2" t="n">
        <v>2100876</v>
      </c>
      <c r="F12" s="2" t="n">
        <v>1325</v>
      </c>
      <c r="G12" s="2" t="s">
        <v>8</v>
      </c>
    </row>
    <row r="13" customFormat="false" ht="15" hidden="false" customHeight="false" outlineLevel="0" collapsed="false">
      <c r="A13" s="2" t="n">
        <v>12</v>
      </c>
      <c r="B13" s="2" t="n">
        <v>59</v>
      </c>
      <c r="C13" s="2" t="n">
        <v>90273</v>
      </c>
      <c r="D13" s="2" t="n">
        <v>580</v>
      </c>
      <c r="E13" s="2" t="n">
        <v>1210718</v>
      </c>
      <c r="F13" s="2" t="n">
        <v>26376</v>
      </c>
      <c r="G13" s="2" t="s">
        <v>7</v>
      </c>
    </row>
    <row r="14" customFormat="false" ht="15" hidden="false" customHeight="false" outlineLevel="0" collapsed="false">
      <c r="A14" s="2" t="n">
        <v>13</v>
      </c>
      <c r="B14" s="2" t="n">
        <v>49</v>
      </c>
      <c r="C14" s="2" t="n">
        <v>97845</v>
      </c>
      <c r="D14" s="2" t="n">
        <v>597</v>
      </c>
      <c r="E14" s="2" t="n">
        <v>1981930</v>
      </c>
      <c r="F14" s="2" t="n">
        <v>20534</v>
      </c>
      <c r="G14" s="2" t="s">
        <v>7</v>
      </c>
    </row>
    <row r="15" customFormat="false" ht="15" hidden="false" customHeight="false" outlineLevel="0" collapsed="false">
      <c r="A15" s="2" t="n">
        <v>14</v>
      </c>
      <c r="B15" s="2" t="n">
        <v>50</v>
      </c>
      <c r="C15" s="2" t="n">
        <v>62182</v>
      </c>
      <c r="D15" s="2" t="n">
        <v>546</v>
      </c>
      <c r="E15" s="2" t="n">
        <v>1024214</v>
      </c>
      <c r="F15" s="2" t="n">
        <v>8517</v>
      </c>
      <c r="G15" s="2" t="s">
        <v>8</v>
      </c>
    </row>
    <row r="16" customFormat="false" ht="15" hidden="false" customHeight="false" outlineLevel="0" collapsed="false">
      <c r="A16" s="2" t="n">
        <v>15</v>
      </c>
      <c r="B16" s="2" t="n">
        <v>48</v>
      </c>
      <c r="C16" s="2" t="n">
        <v>92376</v>
      </c>
      <c r="D16" s="2" t="n">
        <v>506</v>
      </c>
      <c r="E16" s="2" t="n">
        <v>1746797</v>
      </c>
      <c r="F16" s="2" t="n">
        <v>23339</v>
      </c>
      <c r="G16" s="2" t="s">
        <v>8</v>
      </c>
    </row>
    <row r="17" customFormat="false" ht="15" hidden="false" customHeight="false" outlineLevel="0" collapsed="false">
      <c r="A17" s="2" t="n">
        <v>16</v>
      </c>
      <c r="B17" s="2" t="n">
        <v>51</v>
      </c>
      <c r="C17" s="2" t="n">
        <v>43585</v>
      </c>
      <c r="D17" s="2" t="n">
        <v>737</v>
      </c>
      <c r="E17" s="2" t="n">
        <v>1634951</v>
      </c>
      <c r="F17" s="2" t="n">
        <v>25106</v>
      </c>
      <c r="G17" s="2" t="s">
        <v>8</v>
      </c>
    </row>
    <row r="18" customFormat="false" ht="15" hidden="false" customHeight="false" outlineLevel="0" collapsed="false">
      <c r="A18" s="2" t="n">
        <v>17</v>
      </c>
      <c r="B18" s="2" t="n">
        <v>41</v>
      </c>
      <c r="C18" s="2" t="n">
        <v>23321</v>
      </c>
      <c r="D18" s="2" t="n">
        <v>839</v>
      </c>
      <c r="E18" s="2" t="n">
        <v>699516</v>
      </c>
      <c r="F18" s="2" t="n">
        <v>1296</v>
      </c>
      <c r="G18" s="2" t="s">
        <v>7</v>
      </c>
    </row>
    <row r="19" customFormat="false" ht="15" hidden="false" customHeight="false" outlineLevel="0" collapsed="false">
      <c r="A19" s="2" t="n">
        <v>18</v>
      </c>
      <c r="B19" s="2" t="n">
        <v>25</v>
      </c>
      <c r="C19" s="2" t="n">
        <v>25121</v>
      </c>
      <c r="D19" s="2" t="n">
        <v>542</v>
      </c>
      <c r="E19" s="2" t="n">
        <v>739511</v>
      </c>
      <c r="F19" s="2" t="n">
        <v>3192</v>
      </c>
      <c r="G19" s="2" t="s">
        <v>8</v>
      </c>
    </row>
    <row r="20" customFormat="false" ht="15" hidden="false" customHeight="false" outlineLevel="0" collapsed="false">
      <c r="A20" s="2" t="n">
        <v>19</v>
      </c>
      <c r="B20" s="2" t="n">
        <v>53</v>
      </c>
      <c r="C20" s="2" t="n">
        <v>61937</v>
      </c>
      <c r="D20" s="2" t="n">
        <v>603</v>
      </c>
      <c r="E20" s="2" t="n">
        <v>246719</v>
      </c>
      <c r="F20" s="2" t="n">
        <v>19972</v>
      </c>
      <c r="G20" s="2" t="s">
        <v>8</v>
      </c>
    </row>
    <row r="21" customFormat="false" ht="15" hidden="false" customHeight="false" outlineLevel="0" collapsed="false">
      <c r="A21" s="2" t="n">
        <v>20</v>
      </c>
      <c r="B21" s="2" t="n">
        <v>38</v>
      </c>
      <c r="C21" s="2" t="n">
        <v>109773</v>
      </c>
      <c r="D21" s="2" t="n">
        <v>677</v>
      </c>
      <c r="E21" s="2" t="n">
        <v>435444</v>
      </c>
      <c r="F21" s="2" t="n">
        <v>29973</v>
      </c>
      <c r="G21" s="2" t="s">
        <v>7</v>
      </c>
    </row>
    <row r="22" customFormat="false" ht="15" hidden="false" customHeight="false" outlineLevel="0" collapsed="false">
      <c r="A22" s="2" t="n">
        <v>21</v>
      </c>
      <c r="B22" s="2" t="n">
        <v>40</v>
      </c>
      <c r="C22" s="2" t="n">
        <v>28395</v>
      </c>
      <c r="D22" s="2" t="n">
        <v>824</v>
      </c>
      <c r="E22" s="2" t="n">
        <v>1140684</v>
      </c>
      <c r="F22" s="2" t="n">
        <v>718</v>
      </c>
      <c r="G22" s="2" t="s">
        <v>7</v>
      </c>
    </row>
    <row r="23" customFormat="false" ht="15" hidden="false" customHeight="false" outlineLevel="0" collapsed="false">
      <c r="A23" s="2" t="n">
        <v>22</v>
      </c>
      <c r="B23" s="2" t="n">
        <v>35</v>
      </c>
      <c r="C23" s="2" t="n">
        <v>62856</v>
      </c>
      <c r="D23" s="2" t="n">
        <v>742</v>
      </c>
      <c r="E23" s="2" t="n">
        <v>1246905</v>
      </c>
      <c r="F23" s="2" t="n">
        <v>19970</v>
      </c>
      <c r="G23" s="2" t="s">
        <v>7</v>
      </c>
    </row>
    <row r="24" customFormat="false" ht="15" hidden="false" customHeight="false" outlineLevel="0" collapsed="false">
      <c r="A24" s="2" t="n">
        <v>23</v>
      </c>
      <c r="B24" s="2" t="n">
        <v>28</v>
      </c>
      <c r="C24" s="2" t="n">
        <v>88923</v>
      </c>
      <c r="D24" s="2" t="n">
        <v>768</v>
      </c>
      <c r="E24" s="2" t="n">
        <v>496289</v>
      </c>
      <c r="F24" s="2" t="n">
        <v>4095</v>
      </c>
      <c r="G24" s="2" t="s">
        <v>7</v>
      </c>
    </row>
    <row r="25" customFormat="false" ht="15" hidden="false" customHeight="false" outlineLevel="0" collapsed="false">
      <c r="A25" s="2" t="n">
        <v>24</v>
      </c>
      <c r="B25" s="2" t="n">
        <v>57</v>
      </c>
      <c r="C25" s="2" t="n">
        <v>36248</v>
      </c>
      <c r="D25" s="2" t="n">
        <v>703</v>
      </c>
      <c r="E25" s="2" t="n">
        <v>1100534</v>
      </c>
      <c r="F25" s="2" t="n">
        <v>19503</v>
      </c>
      <c r="G25" s="2" t="s">
        <v>8</v>
      </c>
    </row>
    <row r="26" customFormat="false" ht="15" hidden="false" customHeight="false" outlineLevel="0" collapsed="false">
      <c r="A26" s="2" t="n">
        <v>25</v>
      </c>
      <c r="B26" s="2" t="n">
        <v>51</v>
      </c>
      <c r="C26" s="2" t="n">
        <v>90769</v>
      </c>
      <c r="D26" s="2" t="n">
        <v>645</v>
      </c>
      <c r="E26" s="2" t="n">
        <v>1550026</v>
      </c>
      <c r="F26" s="2" t="n">
        <v>18699</v>
      </c>
      <c r="G26" s="2" t="s">
        <v>7</v>
      </c>
    </row>
    <row r="27" customFormat="false" ht="15" hidden="false" customHeight="false" outlineLevel="0" collapsed="false">
      <c r="A27" s="2" t="n">
        <v>26</v>
      </c>
      <c r="B27" s="2" t="n">
        <v>46</v>
      </c>
      <c r="C27" s="2" t="n">
        <v>47125</v>
      </c>
      <c r="D27" s="2" t="n">
        <v>569</v>
      </c>
      <c r="E27" s="2" t="n">
        <v>658167</v>
      </c>
      <c r="F27" s="2" t="n">
        <v>2713</v>
      </c>
      <c r="G27" s="2" t="s">
        <v>7</v>
      </c>
    </row>
    <row r="28" customFormat="false" ht="15" hidden="false" customHeight="false" outlineLevel="0" collapsed="false">
      <c r="A28" s="2" t="n">
        <v>27</v>
      </c>
      <c r="B28" s="2" t="n">
        <v>36</v>
      </c>
      <c r="C28" s="2" t="n">
        <v>99909</v>
      </c>
      <c r="D28" s="2" t="n">
        <v>802</v>
      </c>
      <c r="E28" s="2" t="n">
        <v>911768</v>
      </c>
      <c r="F28" s="2" t="n">
        <v>20421</v>
      </c>
      <c r="G28" s="2" t="s">
        <v>7</v>
      </c>
    </row>
    <row r="29" customFormat="false" ht="15" hidden="false" customHeight="false" outlineLevel="0" collapsed="false">
      <c r="A29" s="2" t="n">
        <v>28</v>
      </c>
      <c r="B29" s="2" t="n">
        <v>53</v>
      </c>
      <c r="C29" s="2" t="n">
        <v>75818</v>
      </c>
      <c r="D29" s="2" t="n">
        <v>781</v>
      </c>
      <c r="E29" s="2" t="n">
        <v>982028</v>
      </c>
      <c r="F29" s="2" t="n">
        <v>26911</v>
      </c>
      <c r="G29" s="2" t="s">
        <v>7</v>
      </c>
    </row>
    <row r="30" customFormat="false" ht="15" hidden="false" customHeight="false" outlineLevel="0" collapsed="false">
      <c r="A30" s="2" t="n">
        <v>29</v>
      </c>
      <c r="B30" s="2" t="n">
        <v>42</v>
      </c>
      <c r="C30" s="2" t="n">
        <v>72425</v>
      </c>
      <c r="D30" s="2" t="n">
        <v>508</v>
      </c>
      <c r="E30" s="2" t="n">
        <v>1312129</v>
      </c>
      <c r="F30" s="2" t="n">
        <v>25903</v>
      </c>
      <c r="G30" s="2" t="s">
        <v>8</v>
      </c>
    </row>
    <row r="31" customFormat="false" ht="15" hidden="false" customHeight="false" outlineLevel="0" collapsed="false">
      <c r="A31" s="2" t="n">
        <v>30</v>
      </c>
      <c r="B31" s="2" t="n">
        <v>38</v>
      </c>
      <c r="C31" s="2" t="n">
        <v>33561</v>
      </c>
      <c r="D31" s="2" t="n">
        <v>750</v>
      </c>
      <c r="E31" s="2" t="n">
        <v>979341</v>
      </c>
      <c r="F31" s="2" t="n">
        <v>869</v>
      </c>
      <c r="G31" s="2" t="s">
        <v>7</v>
      </c>
    </row>
    <row r="32" customFormat="false" ht="15" hidden="false" customHeight="false" outlineLevel="0" collapsed="false">
      <c r="A32" s="2" t="n">
        <v>31</v>
      </c>
      <c r="B32" s="2" t="n">
        <v>38</v>
      </c>
      <c r="C32" s="2" t="n">
        <v>63636</v>
      </c>
      <c r="D32" s="2" t="n">
        <v>529</v>
      </c>
      <c r="E32" s="2" t="n">
        <v>1868667</v>
      </c>
      <c r="F32" s="2" t="n">
        <v>7377</v>
      </c>
      <c r="G32" s="2" t="s">
        <v>8</v>
      </c>
    </row>
    <row r="33" customFormat="false" ht="15" hidden="false" customHeight="false" outlineLevel="0" collapsed="false">
      <c r="A33" s="2" t="n">
        <v>32</v>
      </c>
      <c r="B33" s="2" t="n">
        <v>29</v>
      </c>
      <c r="C33" s="2" t="n">
        <v>104944</v>
      </c>
      <c r="D33" s="2" t="n">
        <v>758</v>
      </c>
      <c r="E33" s="2" t="n">
        <v>885989</v>
      </c>
      <c r="F33" s="2" t="n">
        <v>7224</v>
      </c>
      <c r="G33" s="2" t="s">
        <v>7</v>
      </c>
    </row>
    <row r="34" customFormat="false" ht="15" hidden="false" customHeight="false" outlineLevel="0" collapsed="false">
      <c r="A34" s="2" t="n">
        <v>33</v>
      </c>
      <c r="B34" s="2" t="n">
        <v>24</v>
      </c>
      <c r="C34" s="2" t="n">
        <v>17050</v>
      </c>
      <c r="D34" s="2" t="n">
        <v>789</v>
      </c>
      <c r="E34" s="2" t="n">
        <v>1141352</v>
      </c>
      <c r="F34" s="2" t="n">
        <v>13598</v>
      </c>
      <c r="G34" s="2" t="s">
        <v>8</v>
      </c>
    </row>
    <row r="35" customFormat="false" ht="15" hidden="false" customHeight="false" outlineLevel="0" collapsed="false">
      <c r="A35" s="2" t="n">
        <v>34</v>
      </c>
      <c r="B35" s="2" t="n">
        <v>42</v>
      </c>
      <c r="C35" s="2" t="n">
        <v>94644</v>
      </c>
      <c r="D35" s="2" t="n">
        <v>545</v>
      </c>
      <c r="E35" s="2" t="n">
        <v>1010713</v>
      </c>
      <c r="F35" s="2" t="n">
        <v>4290</v>
      </c>
      <c r="G35" s="2" t="s">
        <v>7</v>
      </c>
    </row>
    <row r="36" customFormat="false" ht="15" hidden="false" customHeight="false" outlineLevel="0" collapsed="false">
      <c r="A36" s="2" t="n">
        <v>35</v>
      </c>
      <c r="B36" s="2" t="n">
        <v>55</v>
      </c>
      <c r="C36" s="2" t="n">
        <v>66740</v>
      </c>
      <c r="D36" s="2" t="n">
        <v>651</v>
      </c>
      <c r="E36" s="2" t="n">
        <v>538997</v>
      </c>
      <c r="F36" s="2" t="n">
        <v>25630</v>
      </c>
      <c r="G36" s="2" t="s">
        <v>7</v>
      </c>
    </row>
    <row r="37" customFormat="false" ht="15" hidden="false" customHeight="false" outlineLevel="0" collapsed="false">
      <c r="A37" s="2" t="n">
        <v>36</v>
      </c>
      <c r="B37" s="2" t="n">
        <v>23</v>
      </c>
      <c r="C37" s="2" t="n">
        <v>90543</v>
      </c>
      <c r="D37" s="2" t="n">
        <v>543</v>
      </c>
      <c r="E37" s="2" t="n">
        <v>1745784</v>
      </c>
      <c r="F37" s="2" t="n">
        <v>23303</v>
      </c>
      <c r="G37" s="2" t="s">
        <v>7</v>
      </c>
    </row>
    <row r="38" customFormat="false" ht="15" hidden="false" customHeight="false" outlineLevel="0" collapsed="false">
      <c r="A38" s="2" t="n">
        <v>37</v>
      </c>
      <c r="B38" s="2" t="n">
        <v>54</v>
      </c>
      <c r="C38" s="2" t="n">
        <v>84646</v>
      </c>
      <c r="D38" s="2" t="n">
        <v>698</v>
      </c>
      <c r="E38" s="2" t="n">
        <v>665070</v>
      </c>
      <c r="F38" s="2" t="n">
        <v>24250</v>
      </c>
      <c r="G38" s="2" t="s">
        <v>7</v>
      </c>
    </row>
    <row r="39" customFormat="false" ht="15" hidden="false" customHeight="false" outlineLevel="0" collapsed="false">
      <c r="A39" s="2" t="n">
        <v>38</v>
      </c>
      <c r="B39" s="2" t="n">
        <v>53</v>
      </c>
      <c r="C39" s="2" t="n">
        <v>60369</v>
      </c>
      <c r="D39" s="2" t="n">
        <v>824</v>
      </c>
      <c r="E39" s="2" t="n">
        <v>812503</v>
      </c>
      <c r="F39" s="2" t="n">
        <v>5946</v>
      </c>
      <c r="G39" s="2" t="s">
        <v>7</v>
      </c>
    </row>
    <row r="40" customFormat="false" ht="15" hidden="false" customHeight="false" outlineLevel="0" collapsed="false">
      <c r="A40" s="2" t="n">
        <v>39</v>
      </c>
      <c r="B40" s="2" t="n">
        <v>31</v>
      </c>
      <c r="C40" s="2" t="n">
        <v>47410</v>
      </c>
      <c r="D40" s="2" t="n">
        <v>528</v>
      </c>
      <c r="E40" s="2" t="n">
        <v>2002604</v>
      </c>
      <c r="F40" s="2" t="n">
        <v>437</v>
      </c>
      <c r="G40" s="2" t="s">
        <v>8</v>
      </c>
    </row>
    <row r="41" customFormat="false" ht="15" hidden="false" customHeight="false" outlineLevel="0" collapsed="false">
      <c r="A41" s="2" t="n">
        <v>40</v>
      </c>
      <c r="B41" s="2" t="n">
        <v>45</v>
      </c>
      <c r="C41" s="2" t="n">
        <v>80867</v>
      </c>
      <c r="D41" s="2" t="n">
        <v>639</v>
      </c>
      <c r="E41" s="2" t="n">
        <v>2377259</v>
      </c>
      <c r="F41" s="2" t="n">
        <v>27319</v>
      </c>
      <c r="G41" s="2" t="s">
        <v>7</v>
      </c>
    </row>
    <row r="42" customFormat="false" ht="15" hidden="false" customHeight="false" outlineLevel="0" collapsed="false">
      <c r="A42" s="2" t="n">
        <v>41</v>
      </c>
      <c r="B42" s="2" t="n">
        <v>27</v>
      </c>
      <c r="C42" s="2" t="n">
        <v>29723</v>
      </c>
      <c r="D42" s="2" t="n">
        <v>840</v>
      </c>
      <c r="E42" s="2" t="n">
        <v>1710023</v>
      </c>
      <c r="F42" s="2" t="n">
        <v>8667</v>
      </c>
      <c r="G42" s="2" t="s">
        <v>7</v>
      </c>
    </row>
    <row r="43" customFormat="false" ht="15" hidden="false" customHeight="false" outlineLevel="0" collapsed="false">
      <c r="A43" s="2" t="n">
        <v>42</v>
      </c>
      <c r="B43" s="2" t="n">
        <v>50</v>
      </c>
      <c r="C43" s="2" t="n">
        <v>76330</v>
      </c>
      <c r="D43" s="2" t="n">
        <v>605</v>
      </c>
      <c r="E43" s="2" t="n">
        <v>2299235</v>
      </c>
      <c r="F43" s="2" t="n">
        <v>19688</v>
      </c>
      <c r="G43" s="2" t="s">
        <v>7</v>
      </c>
    </row>
    <row r="44" customFormat="false" ht="15" hidden="false" customHeight="false" outlineLevel="0" collapsed="false">
      <c r="A44" s="2" t="n">
        <v>43</v>
      </c>
      <c r="B44" s="2" t="n">
        <v>48</v>
      </c>
      <c r="C44" s="2" t="n">
        <v>24942</v>
      </c>
      <c r="D44" s="2" t="n">
        <v>546</v>
      </c>
      <c r="E44" s="2" t="n">
        <v>2150057</v>
      </c>
      <c r="F44" s="2" t="n">
        <v>27283</v>
      </c>
      <c r="G44" s="2" t="s">
        <v>8</v>
      </c>
    </row>
    <row r="45" customFormat="false" ht="15" hidden="false" customHeight="false" outlineLevel="0" collapsed="false">
      <c r="A45" s="2" t="n">
        <v>44</v>
      </c>
      <c r="B45" s="2" t="n">
        <v>34</v>
      </c>
      <c r="C45" s="2" t="n">
        <v>83233</v>
      </c>
      <c r="D45" s="2" t="n">
        <v>671</v>
      </c>
      <c r="E45" s="2" t="n">
        <v>1254185</v>
      </c>
      <c r="F45" s="2" t="n">
        <v>1084</v>
      </c>
      <c r="G45" s="2" t="s">
        <v>7</v>
      </c>
    </row>
    <row r="46" customFormat="false" ht="15" hidden="false" customHeight="false" outlineLevel="0" collapsed="false">
      <c r="A46" s="2" t="n">
        <v>45</v>
      </c>
      <c r="B46" s="2" t="n">
        <v>23</v>
      </c>
      <c r="C46" s="2" t="n">
        <v>81018</v>
      </c>
      <c r="D46" s="2" t="n">
        <v>677</v>
      </c>
      <c r="E46" s="2" t="n">
        <v>1948696</v>
      </c>
      <c r="F46" s="2" t="n">
        <v>164</v>
      </c>
      <c r="G46" s="2" t="s">
        <v>7</v>
      </c>
    </row>
    <row r="47" customFormat="false" ht="15" hidden="false" customHeight="false" outlineLevel="0" collapsed="false">
      <c r="A47" s="2" t="n">
        <v>46</v>
      </c>
      <c r="B47" s="2" t="n">
        <v>58</v>
      </c>
      <c r="C47" s="2" t="n">
        <v>23866</v>
      </c>
      <c r="D47" s="2" t="n">
        <v>732</v>
      </c>
      <c r="E47" s="2" t="n">
        <v>888066</v>
      </c>
      <c r="F47" s="2" t="n">
        <v>162</v>
      </c>
      <c r="G47" s="2" t="s">
        <v>7</v>
      </c>
    </row>
    <row r="48" customFormat="false" ht="15" hidden="false" customHeight="false" outlineLevel="0" collapsed="false">
      <c r="A48" s="2" t="n">
        <v>47</v>
      </c>
      <c r="B48" s="2" t="n">
        <v>38</v>
      </c>
      <c r="C48" s="2" t="n">
        <v>94536</v>
      </c>
      <c r="D48" s="2" t="n">
        <v>609</v>
      </c>
      <c r="E48" s="2" t="n">
        <v>1205192</v>
      </c>
      <c r="F48" s="2" t="n">
        <v>4689</v>
      </c>
      <c r="G48" s="2" t="s">
        <v>7</v>
      </c>
    </row>
    <row r="49" customFormat="false" ht="15" hidden="false" customHeight="false" outlineLevel="0" collapsed="false">
      <c r="A49" s="2" t="n">
        <v>48</v>
      </c>
      <c r="B49" s="2" t="n">
        <v>55</v>
      </c>
      <c r="C49" s="2" t="n">
        <v>58659</v>
      </c>
      <c r="D49" s="2" t="n">
        <v>834</v>
      </c>
      <c r="E49" s="2" t="n">
        <v>1385043</v>
      </c>
      <c r="F49" s="2" t="n">
        <v>1549</v>
      </c>
      <c r="G49" s="2" t="s">
        <v>7</v>
      </c>
    </row>
    <row r="50" customFormat="false" ht="15" hidden="false" customHeight="false" outlineLevel="0" collapsed="false">
      <c r="A50" s="2" t="n">
        <v>49</v>
      </c>
      <c r="B50" s="2" t="n">
        <v>47</v>
      </c>
      <c r="C50" s="2" t="n">
        <v>97623</v>
      </c>
      <c r="D50" s="2" t="n">
        <v>682</v>
      </c>
      <c r="E50" s="2" t="n">
        <v>2405183</v>
      </c>
      <c r="F50" s="2" t="n">
        <v>24599</v>
      </c>
      <c r="G50" s="2" t="s">
        <v>7</v>
      </c>
    </row>
    <row r="51" customFormat="false" ht="15" hidden="false" customHeight="false" outlineLevel="0" collapsed="false">
      <c r="A51" s="2" t="n">
        <v>50</v>
      </c>
      <c r="B51" s="2" t="n">
        <v>51</v>
      </c>
      <c r="C51" s="2" t="n">
        <v>19369</v>
      </c>
      <c r="D51" s="2" t="n">
        <v>600</v>
      </c>
      <c r="E51" s="2" t="n">
        <v>2136545</v>
      </c>
      <c r="F51" s="2" t="n">
        <v>18177</v>
      </c>
      <c r="G51" s="2" t="s">
        <v>8</v>
      </c>
    </row>
    <row r="52" customFormat="false" ht="15" hidden="false" customHeight="false" outlineLevel="0" collapsed="false">
      <c r="A52" s="2" t="n">
        <v>51</v>
      </c>
      <c r="B52" s="2" t="n">
        <v>50</v>
      </c>
      <c r="C52" s="2" t="n">
        <v>33842</v>
      </c>
      <c r="D52" s="2" t="n">
        <v>836</v>
      </c>
      <c r="E52" s="2" t="n">
        <v>1274207</v>
      </c>
      <c r="F52" s="2" t="n">
        <v>29401</v>
      </c>
      <c r="G52" s="2" t="s">
        <v>7</v>
      </c>
    </row>
    <row r="53" customFormat="false" ht="15" hidden="false" customHeight="false" outlineLevel="0" collapsed="false">
      <c r="A53" s="2" t="n">
        <v>52</v>
      </c>
      <c r="B53" s="2" t="n">
        <v>28</v>
      </c>
      <c r="C53" s="2" t="n">
        <v>66869</v>
      </c>
      <c r="D53" s="2" t="n">
        <v>823</v>
      </c>
      <c r="E53" s="2" t="n">
        <v>1666209</v>
      </c>
      <c r="F53" s="2" t="n">
        <v>24044</v>
      </c>
      <c r="G53" s="2" t="s">
        <v>7</v>
      </c>
    </row>
    <row r="54" customFormat="false" ht="15" hidden="false" customHeight="false" outlineLevel="0" collapsed="false">
      <c r="A54" s="2" t="n">
        <v>53</v>
      </c>
      <c r="B54" s="2" t="n">
        <v>35</v>
      </c>
      <c r="C54" s="2" t="n">
        <v>34763</v>
      </c>
      <c r="D54" s="2" t="n">
        <v>674</v>
      </c>
      <c r="E54" s="2" t="n">
        <v>585655</v>
      </c>
      <c r="F54" s="2" t="n">
        <v>28895</v>
      </c>
      <c r="G54" s="2" t="s">
        <v>7</v>
      </c>
    </row>
    <row r="55" customFormat="false" ht="15" hidden="false" customHeight="false" outlineLevel="0" collapsed="false">
      <c r="A55" s="2" t="n">
        <v>54</v>
      </c>
      <c r="B55" s="2" t="n">
        <v>39</v>
      </c>
      <c r="C55" s="2" t="n">
        <v>49635</v>
      </c>
      <c r="D55" s="2" t="n">
        <v>508</v>
      </c>
      <c r="E55" s="2" t="n">
        <v>2030540</v>
      </c>
      <c r="F55" s="2" t="n">
        <v>7156</v>
      </c>
      <c r="G55" s="2" t="s">
        <v>8</v>
      </c>
    </row>
    <row r="56" customFormat="false" ht="15" hidden="false" customHeight="false" outlineLevel="0" collapsed="false">
      <c r="A56" s="2" t="n">
        <v>55</v>
      </c>
      <c r="B56" s="2" t="n">
        <v>40</v>
      </c>
      <c r="C56" s="2" t="n">
        <v>84362</v>
      </c>
      <c r="D56" s="2" t="n">
        <v>708</v>
      </c>
      <c r="E56" s="2" t="n">
        <v>1427291</v>
      </c>
      <c r="F56" s="2" t="n">
        <v>8633</v>
      </c>
      <c r="G56" s="2" t="s">
        <v>7</v>
      </c>
    </row>
    <row r="57" customFormat="false" ht="15" hidden="false" customHeight="false" outlineLevel="0" collapsed="false">
      <c r="A57" s="2" t="n">
        <v>56</v>
      </c>
      <c r="B57" s="2" t="n">
        <v>22</v>
      </c>
      <c r="C57" s="2" t="n">
        <v>30175</v>
      </c>
      <c r="D57" s="2" t="n">
        <v>694</v>
      </c>
      <c r="E57" s="2" t="n">
        <v>1378533</v>
      </c>
      <c r="F57" s="2" t="n">
        <v>25482</v>
      </c>
      <c r="G57" s="2" t="s">
        <v>8</v>
      </c>
    </row>
    <row r="58" customFormat="false" ht="15" hidden="false" customHeight="false" outlineLevel="0" collapsed="false">
      <c r="A58" s="2" t="n">
        <v>57</v>
      </c>
      <c r="B58" s="2" t="n">
        <v>42</v>
      </c>
      <c r="C58" s="2" t="n">
        <v>86158</v>
      </c>
      <c r="D58" s="2" t="n">
        <v>551</v>
      </c>
      <c r="E58" s="2" t="n">
        <v>1939080</v>
      </c>
      <c r="F58" s="2" t="n">
        <v>7346</v>
      </c>
      <c r="G58" s="2" t="s">
        <v>7</v>
      </c>
    </row>
    <row r="59" customFormat="false" ht="15" hidden="false" customHeight="false" outlineLevel="0" collapsed="false">
      <c r="A59" s="2" t="n">
        <v>58</v>
      </c>
      <c r="B59" s="2" t="n">
        <v>27</v>
      </c>
      <c r="C59" s="2" t="n">
        <v>25857</v>
      </c>
      <c r="D59" s="2" t="n">
        <v>721</v>
      </c>
      <c r="E59" s="2" t="n">
        <v>1619002</v>
      </c>
      <c r="F59" s="2" t="n">
        <v>1716</v>
      </c>
      <c r="G59" s="2" t="s">
        <v>8</v>
      </c>
    </row>
    <row r="60" customFormat="false" ht="15" hidden="false" customHeight="false" outlineLevel="0" collapsed="false">
      <c r="A60" s="2" t="n">
        <v>59</v>
      </c>
      <c r="B60" s="2" t="n">
        <v>49</v>
      </c>
      <c r="C60" s="2" t="n">
        <v>33394</v>
      </c>
      <c r="D60" s="2" t="n">
        <v>794</v>
      </c>
      <c r="E60" s="2" t="n">
        <v>273920</v>
      </c>
      <c r="F60" s="2" t="n">
        <v>20073</v>
      </c>
      <c r="G60" s="2" t="s">
        <v>7</v>
      </c>
    </row>
    <row r="61" customFormat="false" ht="15" hidden="false" customHeight="false" outlineLevel="0" collapsed="false">
      <c r="A61" s="2" t="n">
        <v>60</v>
      </c>
      <c r="B61" s="2" t="n">
        <v>47</v>
      </c>
      <c r="C61" s="2" t="n">
        <v>76702</v>
      </c>
      <c r="D61" s="2" t="n">
        <v>537</v>
      </c>
      <c r="E61" s="2" t="n">
        <v>791573</v>
      </c>
      <c r="F61" s="2" t="n">
        <v>24028</v>
      </c>
      <c r="G61" s="2" t="s">
        <v>8</v>
      </c>
    </row>
    <row r="62" customFormat="false" ht="15" hidden="false" customHeight="false" outlineLevel="0" collapsed="false">
      <c r="A62" s="2" t="n">
        <v>61</v>
      </c>
      <c r="B62" s="2" t="n">
        <v>56</v>
      </c>
      <c r="C62" s="2" t="n">
        <v>98315</v>
      </c>
      <c r="D62" s="2" t="n">
        <v>753</v>
      </c>
      <c r="E62" s="2" t="n">
        <v>524125</v>
      </c>
      <c r="F62" s="2" t="n">
        <v>29045</v>
      </c>
      <c r="G62" s="2" t="s">
        <v>7</v>
      </c>
    </row>
    <row r="63" customFormat="false" ht="15" hidden="false" customHeight="false" outlineLevel="0" collapsed="false">
      <c r="A63" s="2" t="n">
        <v>62</v>
      </c>
      <c r="B63" s="2" t="n">
        <v>50</v>
      </c>
      <c r="C63" s="2" t="n">
        <v>32912</v>
      </c>
      <c r="D63" s="2" t="n">
        <v>549</v>
      </c>
      <c r="E63" s="2" t="n">
        <v>1863743</v>
      </c>
      <c r="F63" s="2" t="n">
        <v>27833</v>
      </c>
      <c r="G63" s="2" t="s">
        <v>8</v>
      </c>
    </row>
    <row r="64" customFormat="false" ht="15" hidden="false" customHeight="false" outlineLevel="0" collapsed="false">
      <c r="A64" s="2" t="n">
        <v>63</v>
      </c>
      <c r="B64" s="2" t="n">
        <v>35</v>
      </c>
      <c r="C64" s="2" t="n">
        <v>46499</v>
      </c>
      <c r="D64" s="2" t="n">
        <v>762</v>
      </c>
      <c r="E64" s="2" t="n">
        <v>184353</v>
      </c>
      <c r="F64" s="2" t="n">
        <v>3606</v>
      </c>
      <c r="G64" s="2" t="s">
        <v>7</v>
      </c>
    </row>
    <row r="65" customFormat="false" ht="15" hidden="false" customHeight="false" outlineLevel="0" collapsed="false">
      <c r="A65" s="2" t="n">
        <v>64</v>
      </c>
      <c r="B65" s="2" t="n">
        <v>58</v>
      </c>
      <c r="C65" s="2" t="n">
        <v>112137</v>
      </c>
      <c r="D65" s="2" t="n">
        <v>646</v>
      </c>
      <c r="E65" s="2" t="n">
        <v>585771</v>
      </c>
      <c r="F65" s="2" t="n">
        <v>23163</v>
      </c>
      <c r="G65" s="2" t="s">
        <v>7</v>
      </c>
    </row>
    <row r="66" customFormat="false" ht="15" hidden="false" customHeight="false" outlineLevel="0" collapsed="false">
      <c r="A66" s="2" t="n">
        <v>65</v>
      </c>
      <c r="B66" s="2" t="n">
        <v>37</v>
      </c>
      <c r="C66" s="2" t="n">
        <v>118916</v>
      </c>
      <c r="D66" s="2" t="n">
        <v>502</v>
      </c>
      <c r="E66" s="2" t="n">
        <v>1533868</v>
      </c>
      <c r="F66" s="2" t="n">
        <v>25383</v>
      </c>
      <c r="G66" s="2" t="s">
        <v>7</v>
      </c>
    </row>
    <row r="67" customFormat="false" ht="15" hidden="false" customHeight="false" outlineLevel="0" collapsed="false">
      <c r="A67" s="2" t="n">
        <v>66</v>
      </c>
      <c r="B67" s="2" t="n">
        <v>33</v>
      </c>
      <c r="C67" s="2" t="n">
        <v>76011</v>
      </c>
      <c r="D67" s="2" t="n">
        <v>838</v>
      </c>
      <c r="E67" s="2" t="n">
        <v>1767515</v>
      </c>
      <c r="F67" s="2" t="n">
        <v>20943</v>
      </c>
      <c r="G67" s="2" t="s">
        <v>7</v>
      </c>
    </row>
    <row r="68" customFormat="false" ht="15" hidden="false" customHeight="false" outlineLevel="0" collapsed="false">
      <c r="A68" s="2" t="n">
        <v>67</v>
      </c>
      <c r="B68" s="2" t="n">
        <v>56</v>
      </c>
      <c r="C68" s="2" t="n">
        <v>61939</v>
      </c>
      <c r="D68" s="2" t="n">
        <v>558</v>
      </c>
      <c r="E68" s="2" t="n">
        <v>1307931</v>
      </c>
      <c r="F68" s="2" t="n">
        <v>24593</v>
      </c>
      <c r="G68" s="2" t="s">
        <v>8</v>
      </c>
    </row>
    <row r="69" customFormat="false" ht="15" hidden="false" customHeight="false" outlineLevel="0" collapsed="false">
      <c r="A69" s="2" t="n">
        <v>68</v>
      </c>
      <c r="B69" s="2" t="n">
        <v>35</v>
      </c>
      <c r="C69" s="2" t="n">
        <v>51421</v>
      </c>
      <c r="D69" s="2" t="n">
        <v>708</v>
      </c>
      <c r="E69" s="2" t="n">
        <v>2165725</v>
      </c>
      <c r="F69" s="2" t="n">
        <v>25139</v>
      </c>
      <c r="G69" s="2" t="s">
        <v>7</v>
      </c>
    </row>
    <row r="70" customFormat="false" ht="15" hidden="false" customHeight="false" outlineLevel="0" collapsed="false">
      <c r="A70" s="2" t="n">
        <v>69</v>
      </c>
      <c r="B70" s="2" t="n">
        <v>23</v>
      </c>
      <c r="C70" s="2" t="n">
        <v>79307</v>
      </c>
      <c r="D70" s="2" t="n">
        <v>563</v>
      </c>
      <c r="E70" s="2" t="n">
        <v>2305456</v>
      </c>
      <c r="F70" s="2" t="n">
        <v>13396</v>
      </c>
      <c r="G70" s="2" t="s">
        <v>7</v>
      </c>
    </row>
    <row r="71" customFormat="false" ht="15" hidden="false" customHeight="false" outlineLevel="0" collapsed="false">
      <c r="A71" s="2" t="n">
        <v>70</v>
      </c>
      <c r="B71" s="2" t="n">
        <v>39</v>
      </c>
      <c r="C71" s="2" t="n">
        <v>77046</v>
      </c>
      <c r="D71" s="2" t="n">
        <v>826</v>
      </c>
      <c r="E71" s="2" t="n">
        <v>417046</v>
      </c>
      <c r="F71" s="2" t="n">
        <v>1204</v>
      </c>
      <c r="G71" s="2" t="s">
        <v>7</v>
      </c>
    </row>
    <row r="72" customFormat="false" ht="15" hidden="false" customHeight="false" outlineLevel="0" collapsed="false">
      <c r="A72" s="2" t="n">
        <v>71</v>
      </c>
      <c r="B72" s="2" t="n">
        <v>52</v>
      </c>
      <c r="C72" s="2" t="n">
        <v>45949</v>
      </c>
      <c r="D72" s="2" t="n">
        <v>758</v>
      </c>
      <c r="E72" s="2" t="n">
        <v>2386026</v>
      </c>
      <c r="F72" s="2" t="n">
        <v>13685</v>
      </c>
      <c r="G72" s="2" t="s">
        <v>7</v>
      </c>
    </row>
    <row r="73" customFormat="false" ht="15" hidden="false" customHeight="false" outlineLevel="0" collapsed="false">
      <c r="A73" s="2" t="n">
        <v>72</v>
      </c>
      <c r="B73" s="2" t="n">
        <v>28</v>
      </c>
      <c r="C73" s="2" t="n">
        <v>17394</v>
      </c>
      <c r="D73" s="2" t="n">
        <v>781</v>
      </c>
      <c r="E73" s="2" t="n">
        <v>1574511</v>
      </c>
      <c r="F73" s="2" t="n">
        <v>6053</v>
      </c>
      <c r="G73" s="2" t="s">
        <v>8</v>
      </c>
    </row>
    <row r="74" customFormat="false" ht="15" hidden="false" customHeight="false" outlineLevel="0" collapsed="false">
      <c r="A74" s="2" t="n">
        <v>73</v>
      </c>
      <c r="B74" s="2" t="n">
        <v>39</v>
      </c>
      <c r="C74" s="2" t="n">
        <v>30907</v>
      </c>
      <c r="D74" s="2" t="n">
        <v>651</v>
      </c>
      <c r="E74" s="2" t="n">
        <v>1626925</v>
      </c>
      <c r="F74" s="2" t="n">
        <v>3411</v>
      </c>
      <c r="G74" s="2" t="s">
        <v>8</v>
      </c>
    </row>
    <row r="75" customFormat="false" ht="15" hidden="false" customHeight="false" outlineLevel="0" collapsed="false">
      <c r="A75" s="2" t="n">
        <v>74</v>
      </c>
      <c r="B75" s="2" t="n">
        <v>26</v>
      </c>
      <c r="C75" s="2" t="n">
        <v>115648</v>
      </c>
      <c r="D75" s="2" t="n">
        <v>663</v>
      </c>
      <c r="E75" s="2" t="n">
        <v>328229</v>
      </c>
      <c r="F75" s="2" t="n">
        <v>3747</v>
      </c>
      <c r="G75" s="2" t="s">
        <v>7</v>
      </c>
    </row>
    <row r="76" customFormat="false" ht="15" hidden="false" customHeight="false" outlineLevel="0" collapsed="false">
      <c r="A76" s="2" t="n">
        <v>75</v>
      </c>
      <c r="B76" s="2" t="n">
        <v>47</v>
      </c>
      <c r="C76" s="2" t="n">
        <v>58906</v>
      </c>
      <c r="D76" s="2" t="n">
        <v>722</v>
      </c>
      <c r="E76" s="2" t="n">
        <v>1592492</v>
      </c>
      <c r="F76" s="2" t="n">
        <v>20921</v>
      </c>
      <c r="G76" s="2" t="s">
        <v>7</v>
      </c>
    </row>
    <row r="77" customFormat="false" ht="15" hidden="false" customHeight="false" outlineLevel="0" collapsed="false">
      <c r="A77" s="2" t="n">
        <v>76</v>
      </c>
      <c r="B77" s="2" t="n">
        <v>39</v>
      </c>
      <c r="C77" s="2" t="n">
        <v>65641</v>
      </c>
      <c r="D77" s="2" t="n">
        <v>774</v>
      </c>
      <c r="E77" s="2" t="n">
        <v>1841717</v>
      </c>
      <c r="F77" s="2" t="n">
        <v>15135</v>
      </c>
      <c r="G77" s="2" t="s">
        <v>7</v>
      </c>
    </row>
    <row r="78" customFormat="false" ht="15" hidden="false" customHeight="false" outlineLevel="0" collapsed="false">
      <c r="A78" s="2" t="n">
        <v>77</v>
      </c>
      <c r="B78" s="2" t="n">
        <v>33</v>
      </c>
      <c r="C78" s="2" t="n">
        <v>64046</v>
      </c>
      <c r="D78" s="2" t="n">
        <v>796</v>
      </c>
      <c r="E78" s="2" t="n">
        <v>1493898</v>
      </c>
      <c r="F78" s="2" t="n">
        <v>16195</v>
      </c>
      <c r="G78" s="2" t="s">
        <v>7</v>
      </c>
    </row>
    <row r="79" customFormat="false" ht="15" hidden="false" customHeight="false" outlineLevel="0" collapsed="false">
      <c r="A79" s="2" t="n">
        <v>78</v>
      </c>
      <c r="B79" s="2" t="n">
        <v>29</v>
      </c>
      <c r="C79" s="2" t="n">
        <v>97187</v>
      </c>
      <c r="D79" s="2" t="n">
        <v>506</v>
      </c>
      <c r="E79" s="2" t="n">
        <v>302783</v>
      </c>
      <c r="F79" s="2" t="n">
        <v>22355</v>
      </c>
      <c r="G79" s="2" t="s">
        <v>8</v>
      </c>
    </row>
    <row r="80" customFormat="false" ht="15" hidden="false" customHeight="false" outlineLevel="0" collapsed="false">
      <c r="A80" s="2" t="n">
        <v>79</v>
      </c>
      <c r="B80" s="2" t="n">
        <v>43</v>
      </c>
      <c r="C80" s="2" t="n">
        <v>21820</v>
      </c>
      <c r="D80" s="2" t="n">
        <v>732</v>
      </c>
      <c r="E80" s="2" t="n">
        <v>1355745</v>
      </c>
      <c r="F80" s="2" t="n">
        <v>16448</v>
      </c>
      <c r="G80" s="2" t="s">
        <v>8</v>
      </c>
    </row>
    <row r="81" customFormat="false" ht="15" hidden="false" customHeight="false" outlineLevel="0" collapsed="false">
      <c r="A81" s="2" t="n">
        <v>80</v>
      </c>
      <c r="B81" s="2" t="n">
        <v>47</v>
      </c>
      <c r="C81" s="2" t="n">
        <v>23686</v>
      </c>
      <c r="D81" s="2" t="n">
        <v>538</v>
      </c>
      <c r="E81" s="2" t="n">
        <v>2346255</v>
      </c>
      <c r="F81" s="2" t="n">
        <v>18900</v>
      </c>
      <c r="G81" s="2" t="s">
        <v>8</v>
      </c>
    </row>
    <row r="82" customFormat="false" ht="15" hidden="false" customHeight="false" outlineLevel="0" collapsed="false">
      <c r="A82" s="2" t="n">
        <v>81</v>
      </c>
      <c r="B82" s="2" t="n">
        <v>57</v>
      </c>
      <c r="C82" s="2" t="n">
        <v>43963</v>
      </c>
      <c r="D82" s="2" t="n">
        <v>600</v>
      </c>
      <c r="E82" s="2" t="n">
        <v>1836199</v>
      </c>
      <c r="F82" s="2" t="n">
        <v>2580</v>
      </c>
      <c r="G82" s="2" t="s">
        <v>8</v>
      </c>
    </row>
    <row r="83" customFormat="false" ht="15" hidden="false" customHeight="false" outlineLevel="0" collapsed="false">
      <c r="A83" s="2" t="n">
        <v>82</v>
      </c>
      <c r="B83" s="2" t="n">
        <v>38</v>
      </c>
      <c r="C83" s="2" t="n">
        <v>66099</v>
      </c>
      <c r="D83" s="2" t="n">
        <v>790</v>
      </c>
      <c r="E83" s="2" t="n">
        <v>429779</v>
      </c>
      <c r="F83" s="2" t="n">
        <v>25533</v>
      </c>
      <c r="G83" s="2" t="s">
        <v>7</v>
      </c>
    </row>
    <row r="84" customFormat="false" ht="15" hidden="false" customHeight="false" outlineLevel="0" collapsed="false">
      <c r="A84" s="2" t="n">
        <v>83</v>
      </c>
      <c r="B84" s="2" t="n">
        <v>27</v>
      </c>
      <c r="C84" s="2" t="n">
        <v>85468</v>
      </c>
      <c r="D84" s="2" t="n">
        <v>587</v>
      </c>
      <c r="E84" s="2" t="n">
        <v>2403852</v>
      </c>
      <c r="F84" s="2" t="n">
        <v>13463</v>
      </c>
      <c r="G84" s="2" t="s">
        <v>8</v>
      </c>
    </row>
    <row r="85" customFormat="false" ht="15" hidden="false" customHeight="false" outlineLevel="0" collapsed="false">
      <c r="A85" s="2" t="n">
        <v>84</v>
      </c>
      <c r="B85" s="2" t="n">
        <v>53</v>
      </c>
      <c r="C85" s="2" t="n">
        <v>66524</v>
      </c>
      <c r="D85" s="2" t="n">
        <v>778</v>
      </c>
      <c r="E85" s="2" t="n">
        <v>2401312</v>
      </c>
      <c r="F85" s="2" t="n">
        <v>4656</v>
      </c>
      <c r="G85" s="2" t="s">
        <v>7</v>
      </c>
    </row>
    <row r="86" customFormat="false" ht="15" hidden="false" customHeight="false" outlineLevel="0" collapsed="false">
      <c r="A86" s="2" t="n">
        <v>85</v>
      </c>
      <c r="B86" s="2" t="n">
        <v>45</v>
      </c>
      <c r="C86" s="2" t="n">
        <v>61322</v>
      </c>
      <c r="D86" s="2" t="n">
        <v>662</v>
      </c>
      <c r="E86" s="2" t="n">
        <v>506549</v>
      </c>
      <c r="F86" s="2" t="n">
        <v>24399</v>
      </c>
      <c r="G86" s="2" t="s">
        <v>7</v>
      </c>
    </row>
    <row r="87" customFormat="false" ht="15" hidden="false" customHeight="false" outlineLevel="0" collapsed="false">
      <c r="A87" s="2" t="n">
        <v>86</v>
      </c>
      <c r="B87" s="2" t="n">
        <v>48</v>
      </c>
      <c r="C87" s="2" t="n">
        <v>113471</v>
      </c>
      <c r="D87" s="2" t="n">
        <v>581</v>
      </c>
      <c r="E87" s="2" t="n">
        <v>2022122</v>
      </c>
      <c r="F87" s="2" t="n">
        <v>22038</v>
      </c>
      <c r="G87" s="2" t="s">
        <v>7</v>
      </c>
    </row>
    <row r="88" customFormat="false" ht="15" hidden="false" customHeight="false" outlineLevel="0" collapsed="false">
      <c r="A88" s="2" t="n">
        <v>87</v>
      </c>
      <c r="B88" s="2" t="n">
        <v>24</v>
      </c>
      <c r="C88" s="2" t="n">
        <v>31906</v>
      </c>
      <c r="D88" s="2" t="n">
        <v>616</v>
      </c>
      <c r="E88" s="2" t="n">
        <v>1076121</v>
      </c>
      <c r="F88" s="2" t="n">
        <v>1590</v>
      </c>
      <c r="G88" s="2" t="s">
        <v>8</v>
      </c>
    </row>
    <row r="89" customFormat="false" ht="15" hidden="false" customHeight="false" outlineLevel="0" collapsed="false">
      <c r="A89" s="2" t="n">
        <v>88</v>
      </c>
      <c r="B89" s="2" t="n">
        <v>33</v>
      </c>
      <c r="C89" s="2" t="n">
        <v>75031</v>
      </c>
      <c r="D89" s="2" t="n">
        <v>685</v>
      </c>
      <c r="E89" s="2" t="n">
        <v>1524836</v>
      </c>
      <c r="F89" s="2" t="n">
        <v>5791</v>
      </c>
      <c r="G89" s="2" t="s">
        <v>7</v>
      </c>
    </row>
    <row r="90" customFormat="false" ht="15" hidden="false" customHeight="false" outlineLevel="0" collapsed="false">
      <c r="A90" s="2" t="n">
        <v>89</v>
      </c>
      <c r="B90" s="2" t="n">
        <v>50</v>
      </c>
      <c r="C90" s="2" t="n">
        <v>71935</v>
      </c>
      <c r="D90" s="2" t="n">
        <v>767</v>
      </c>
      <c r="E90" s="2" t="n">
        <v>1168447</v>
      </c>
      <c r="F90" s="2" t="n">
        <v>472</v>
      </c>
      <c r="G90" s="2" t="s">
        <v>7</v>
      </c>
    </row>
    <row r="91" customFormat="false" ht="15" hidden="false" customHeight="false" outlineLevel="0" collapsed="false">
      <c r="A91" s="2" t="n">
        <v>90</v>
      </c>
      <c r="B91" s="2" t="n">
        <v>53</v>
      </c>
      <c r="C91" s="2" t="n">
        <v>64716</v>
      </c>
      <c r="D91" s="2" t="n">
        <v>712</v>
      </c>
      <c r="E91" s="2" t="n">
        <v>1978297</v>
      </c>
      <c r="F91" s="2" t="n">
        <v>8122</v>
      </c>
      <c r="G91" s="2" t="s">
        <v>7</v>
      </c>
    </row>
    <row r="92" customFormat="false" ht="15" hidden="false" customHeight="false" outlineLevel="0" collapsed="false">
      <c r="A92" s="2" t="n">
        <v>91</v>
      </c>
      <c r="B92" s="2" t="n">
        <v>37</v>
      </c>
      <c r="C92" s="2" t="n">
        <v>99797</v>
      </c>
      <c r="D92" s="2" t="n">
        <v>826</v>
      </c>
      <c r="E92" s="2" t="n">
        <v>2491983</v>
      </c>
      <c r="F92" s="2" t="n">
        <v>2999</v>
      </c>
      <c r="G92" s="2" t="s">
        <v>7</v>
      </c>
    </row>
    <row r="93" customFormat="false" ht="15" hidden="false" customHeight="false" outlineLevel="0" collapsed="false">
      <c r="A93" s="2" t="n">
        <v>92</v>
      </c>
      <c r="B93" s="2" t="n">
        <v>52</v>
      </c>
      <c r="C93" s="2" t="n">
        <v>43032</v>
      </c>
      <c r="D93" s="2" t="n">
        <v>803</v>
      </c>
      <c r="E93" s="2" t="n">
        <v>2008275</v>
      </c>
      <c r="F93" s="2" t="n">
        <v>21297</v>
      </c>
      <c r="G93" s="2" t="s">
        <v>7</v>
      </c>
    </row>
    <row r="94" customFormat="false" ht="15" hidden="false" customHeight="false" outlineLevel="0" collapsed="false">
      <c r="A94" s="2" t="n">
        <v>93</v>
      </c>
      <c r="B94" s="2" t="n">
        <v>53</v>
      </c>
      <c r="C94" s="2" t="n">
        <v>115146</v>
      </c>
      <c r="D94" s="2" t="n">
        <v>763</v>
      </c>
      <c r="E94" s="2" t="n">
        <v>2335291</v>
      </c>
      <c r="F94" s="2" t="n">
        <v>15676</v>
      </c>
      <c r="G94" s="2" t="s">
        <v>7</v>
      </c>
    </row>
    <row r="95" customFormat="false" ht="15" hidden="false" customHeight="false" outlineLevel="0" collapsed="false">
      <c r="A95" s="2" t="n">
        <v>94</v>
      </c>
      <c r="B95" s="2" t="n">
        <v>36</v>
      </c>
      <c r="C95" s="2" t="n">
        <v>49814</v>
      </c>
      <c r="D95" s="2" t="n">
        <v>711</v>
      </c>
      <c r="E95" s="2" t="n">
        <v>2370464</v>
      </c>
      <c r="F95" s="2" t="n">
        <v>29406</v>
      </c>
      <c r="G95" s="2" t="s">
        <v>8</v>
      </c>
    </row>
    <row r="96" customFormat="false" ht="15" hidden="false" customHeight="false" outlineLevel="0" collapsed="false">
      <c r="A96" s="2" t="n">
        <v>95</v>
      </c>
      <c r="B96" s="2" t="n">
        <v>56</v>
      </c>
      <c r="C96" s="2" t="n">
        <v>72225</v>
      </c>
      <c r="D96" s="2" t="n">
        <v>601</v>
      </c>
      <c r="E96" s="2" t="n">
        <v>316253</v>
      </c>
      <c r="F96" s="2" t="n">
        <v>22482</v>
      </c>
      <c r="G96" s="2" t="s">
        <v>7</v>
      </c>
    </row>
    <row r="97" customFormat="false" ht="15" hidden="false" customHeight="false" outlineLevel="0" collapsed="false">
      <c r="A97" s="2" t="n">
        <v>96</v>
      </c>
      <c r="B97" s="2" t="n">
        <v>32</v>
      </c>
      <c r="C97" s="2" t="n">
        <v>69670</v>
      </c>
      <c r="D97" s="2" t="n">
        <v>644</v>
      </c>
      <c r="E97" s="2" t="n">
        <v>708120</v>
      </c>
      <c r="F97" s="2" t="n">
        <v>18346</v>
      </c>
      <c r="G97" s="2" t="s">
        <v>7</v>
      </c>
    </row>
    <row r="98" customFormat="false" ht="15" hidden="false" customHeight="false" outlineLevel="0" collapsed="false">
      <c r="A98" s="2" t="n">
        <v>97</v>
      </c>
      <c r="B98" s="2" t="n">
        <v>30</v>
      </c>
      <c r="C98" s="2" t="n">
        <v>104226</v>
      </c>
      <c r="D98" s="2" t="n">
        <v>541</v>
      </c>
      <c r="E98" s="2" t="n">
        <v>1832455</v>
      </c>
      <c r="F98" s="2" t="n">
        <v>15279</v>
      </c>
      <c r="G98" s="2" t="s">
        <v>7</v>
      </c>
    </row>
    <row r="99" customFormat="false" ht="15" hidden="false" customHeight="false" outlineLevel="0" collapsed="false">
      <c r="A99" s="2" t="n">
        <v>98</v>
      </c>
      <c r="B99" s="2" t="n">
        <v>47</v>
      </c>
      <c r="C99" s="2" t="n">
        <v>61085</v>
      </c>
      <c r="D99" s="2" t="n">
        <v>630</v>
      </c>
      <c r="E99" s="2" t="n">
        <v>1516182</v>
      </c>
      <c r="F99" s="2" t="n">
        <v>1635</v>
      </c>
      <c r="G99" s="2" t="s">
        <v>7</v>
      </c>
    </row>
    <row r="100" customFormat="false" ht="15" hidden="false" customHeight="false" outlineLevel="0" collapsed="false">
      <c r="A100" s="2" t="n">
        <v>99</v>
      </c>
      <c r="B100" s="2" t="n">
        <v>45</v>
      </c>
      <c r="C100" s="2" t="n">
        <v>44878</v>
      </c>
      <c r="D100" s="2" t="n">
        <v>824</v>
      </c>
      <c r="E100" s="2" t="n">
        <v>220350</v>
      </c>
      <c r="F100" s="2" t="n">
        <v>2106</v>
      </c>
      <c r="G100" s="2" t="s">
        <v>7</v>
      </c>
    </row>
    <row r="101" customFormat="false" ht="15" hidden="false" customHeight="false" outlineLevel="0" collapsed="false">
      <c r="A101" s="2" t="n">
        <v>100</v>
      </c>
      <c r="B101" s="2" t="n">
        <v>26</v>
      </c>
      <c r="C101" s="2" t="n">
        <v>17269</v>
      </c>
      <c r="D101" s="2" t="n">
        <v>649</v>
      </c>
      <c r="E101" s="2" t="n">
        <v>328118</v>
      </c>
      <c r="F101" s="2" t="n">
        <v>18489</v>
      </c>
      <c r="G101" s="2" t="s">
        <v>8</v>
      </c>
    </row>
    <row r="102" customFormat="false" ht="15" hidden="false" customHeight="false" outlineLevel="0" collapsed="false">
      <c r="A102" s="2" t="n">
        <v>101</v>
      </c>
      <c r="B102" s="2" t="n">
        <v>53</v>
      </c>
      <c r="C102" s="2" t="n">
        <v>53186</v>
      </c>
      <c r="D102" s="2" t="n">
        <v>539</v>
      </c>
      <c r="E102" s="2" t="n">
        <v>1349313</v>
      </c>
      <c r="F102" s="2" t="n">
        <v>131</v>
      </c>
      <c r="G102" s="2" t="s">
        <v>8</v>
      </c>
    </row>
    <row r="103" customFormat="false" ht="15" hidden="false" customHeight="false" outlineLevel="0" collapsed="false">
      <c r="A103" s="2" t="n">
        <v>102</v>
      </c>
      <c r="B103" s="2" t="n">
        <v>28</v>
      </c>
      <c r="C103" s="2" t="n">
        <v>101760</v>
      </c>
      <c r="D103" s="2" t="n">
        <v>728</v>
      </c>
      <c r="E103" s="2" t="n">
        <v>1578797</v>
      </c>
      <c r="F103" s="2" t="n">
        <v>1270</v>
      </c>
      <c r="G103" s="2" t="s">
        <v>7</v>
      </c>
    </row>
    <row r="104" customFormat="false" ht="15" hidden="false" customHeight="false" outlineLevel="0" collapsed="false">
      <c r="A104" s="2" t="n">
        <v>103</v>
      </c>
      <c r="B104" s="2" t="n">
        <v>52</v>
      </c>
      <c r="C104" s="2" t="n">
        <v>16041</v>
      </c>
      <c r="D104" s="2" t="n">
        <v>836</v>
      </c>
      <c r="E104" s="2" t="n">
        <v>502526</v>
      </c>
      <c r="F104" s="2" t="n">
        <v>6574</v>
      </c>
      <c r="G104" s="2" t="s">
        <v>7</v>
      </c>
    </row>
    <row r="105" customFormat="false" ht="15" hidden="false" customHeight="false" outlineLevel="0" collapsed="false">
      <c r="A105" s="2" t="n">
        <v>104</v>
      </c>
      <c r="B105" s="2" t="n">
        <v>21</v>
      </c>
      <c r="C105" s="2" t="n">
        <v>109096</v>
      </c>
      <c r="D105" s="2" t="n">
        <v>803</v>
      </c>
      <c r="E105" s="2" t="n">
        <v>511099</v>
      </c>
      <c r="F105" s="2" t="n">
        <v>26524</v>
      </c>
      <c r="G105" s="2" t="s">
        <v>7</v>
      </c>
    </row>
    <row r="106" customFormat="false" ht="15" hidden="false" customHeight="false" outlineLevel="0" collapsed="false">
      <c r="A106" s="2" t="n">
        <v>105</v>
      </c>
      <c r="B106" s="2" t="n">
        <v>52</v>
      </c>
      <c r="C106" s="2" t="n">
        <v>71996</v>
      </c>
      <c r="D106" s="2" t="n">
        <v>595</v>
      </c>
      <c r="E106" s="2" t="n">
        <v>410416</v>
      </c>
      <c r="F106" s="2" t="n">
        <v>13767</v>
      </c>
      <c r="G106" s="2" t="s">
        <v>7</v>
      </c>
    </row>
    <row r="107" customFormat="false" ht="15" hidden="false" customHeight="false" outlineLevel="0" collapsed="false">
      <c r="A107" s="2" t="n">
        <v>106</v>
      </c>
      <c r="B107" s="2" t="n">
        <v>51</v>
      </c>
      <c r="C107" s="2" t="n">
        <v>29726</v>
      </c>
      <c r="D107" s="2" t="n">
        <v>658</v>
      </c>
      <c r="E107" s="2" t="n">
        <v>1455881</v>
      </c>
      <c r="F107" s="2" t="n">
        <v>21287</v>
      </c>
      <c r="G107" s="2" t="s">
        <v>8</v>
      </c>
    </row>
    <row r="108" customFormat="false" ht="15" hidden="false" customHeight="false" outlineLevel="0" collapsed="false">
      <c r="A108" s="2" t="n">
        <v>107</v>
      </c>
      <c r="B108" s="2" t="n">
        <v>51</v>
      </c>
      <c r="C108" s="2" t="n">
        <v>46728</v>
      </c>
      <c r="D108" s="2" t="n">
        <v>685</v>
      </c>
      <c r="E108" s="2" t="n">
        <v>118848</v>
      </c>
      <c r="F108" s="2" t="n">
        <v>12346</v>
      </c>
      <c r="G108" s="2" t="s">
        <v>7</v>
      </c>
    </row>
    <row r="109" customFormat="false" ht="15" hidden="false" customHeight="false" outlineLevel="0" collapsed="false">
      <c r="A109" s="2" t="n">
        <v>108</v>
      </c>
      <c r="B109" s="2" t="n">
        <v>46</v>
      </c>
      <c r="C109" s="2" t="n">
        <v>73173</v>
      </c>
      <c r="D109" s="2" t="n">
        <v>586</v>
      </c>
      <c r="E109" s="2" t="n">
        <v>1473833</v>
      </c>
      <c r="F109" s="2" t="n">
        <v>5193</v>
      </c>
      <c r="G109" s="2" t="s">
        <v>7</v>
      </c>
    </row>
    <row r="110" customFormat="false" ht="15" hidden="false" customHeight="false" outlineLevel="0" collapsed="false">
      <c r="A110" s="2" t="n">
        <v>109</v>
      </c>
      <c r="B110" s="2" t="n">
        <v>39</v>
      </c>
      <c r="C110" s="2" t="n">
        <v>48147</v>
      </c>
      <c r="D110" s="2" t="n">
        <v>594</v>
      </c>
      <c r="E110" s="2" t="n">
        <v>1242228</v>
      </c>
      <c r="F110" s="2" t="n">
        <v>11134</v>
      </c>
      <c r="G110" s="2" t="s">
        <v>7</v>
      </c>
    </row>
    <row r="111" customFormat="false" ht="15" hidden="false" customHeight="false" outlineLevel="0" collapsed="false">
      <c r="A111" s="2" t="n">
        <v>110</v>
      </c>
      <c r="B111" s="2" t="n">
        <v>48</v>
      </c>
      <c r="C111" s="2" t="n">
        <v>26400</v>
      </c>
      <c r="D111" s="2" t="n">
        <v>582</v>
      </c>
      <c r="E111" s="2" t="n">
        <v>1218364</v>
      </c>
      <c r="F111" s="2" t="n">
        <v>2751</v>
      </c>
      <c r="G111" s="2" t="s">
        <v>8</v>
      </c>
    </row>
    <row r="112" customFormat="false" ht="15" hidden="false" customHeight="false" outlineLevel="0" collapsed="false">
      <c r="A112" s="2" t="n">
        <v>111</v>
      </c>
      <c r="B112" s="2" t="n">
        <v>31</v>
      </c>
      <c r="C112" s="2" t="n">
        <v>84928</v>
      </c>
      <c r="D112" s="2" t="n">
        <v>848</v>
      </c>
      <c r="E112" s="2" t="n">
        <v>1730263</v>
      </c>
      <c r="F112" s="2" t="n">
        <v>23107</v>
      </c>
      <c r="G112" s="2" t="s">
        <v>7</v>
      </c>
    </row>
    <row r="113" customFormat="false" ht="15" hidden="false" customHeight="false" outlineLevel="0" collapsed="false">
      <c r="A113" s="2" t="n">
        <v>112</v>
      </c>
      <c r="B113" s="2" t="n">
        <v>51</v>
      </c>
      <c r="C113" s="2" t="n">
        <v>85585</v>
      </c>
      <c r="D113" s="2" t="n">
        <v>761</v>
      </c>
      <c r="E113" s="2" t="n">
        <v>1354316</v>
      </c>
      <c r="F113" s="2" t="n">
        <v>5505</v>
      </c>
      <c r="G113" s="2" t="s">
        <v>7</v>
      </c>
    </row>
    <row r="114" customFormat="false" ht="15" hidden="false" customHeight="false" outlineLevel="0" collapsed="false">
      <c r="A114" s="2" t="n">
        <v>113</v>
      </c>
      <c r="B114" s="2" t="n">
        <v>42</v>
      </c>
      <c r="C114" s="2" t="n">
        <v>27481</v>
      </c>
      <c r="D114" s="2" t="n">
        <v>794</v>
      </c>
      <c r="E114" s="2" t="n">
        <v>1846597</v>
      </c>
      <c r="F114" s="2" t="n">
        <v>11291</v>
      </c>
      <c r="G114" s="2" t="s">
        <v>8</v>
      </c>
    </row>
    <row r="115" customFormat="false" ht="15" hidden="false" customHeight="false" outlineLevel="0" collapsed="false">
      <c r="A115" s="2" t="n">
        <v>114</v>
      </c>
      <c r="B115" s="2" t="n">
        <v>38</v>
      </c>
      <c r="C115" s="2" t="n">
        <v>44529</v>
      </c>
      <c r="D115" s="2" t="n">
        <v>785</v>
      </c>
      <c r="E115" s="2" t="n">
        <v>1933416</v>
      </c>
      <c r="F115" s="2" t="n">
        <v>29400</v>
      </c>
      <c r="G115" s="2" t="s">
        <v>7</v>
      </c>
    </row>
    <row r="116" customFormat="false" ht="15" hidden="false" customHeight="false" outlineLevel="0" collapsed="false">
      <c r="A116" s="2" t="n">
        <v>115</v>
      </c>
      <c r="B116" s="2" t="n">
        <v>40</v>
      </c>
      <c r="C116" s="2" t="n">
        <v>40606</v>
      </c>
      <c r="D116" s="2" t="n">
        <v>835</v>
      </c>
      <c r="E116" s="2" t="n">
        <v>2308282</v>
      </c>
      <c r="F116" s="2" t="n">
        <v>17758</v>
      </c>
      <c r="G116" s="2" t="s">
        <v>7</v>
      </c>
    </row>
    <row r="117" customFormat="false" ht="15" hidden="false" customHeight="false" outlineLevel="0" collapsed="false">
      <c r="A117" s="2" t="n">
        <v>116</v>
      </c>
      <c r="B117" s="2" t="n">
        <v>43</v>
      </c>
      <c r="C117" s="2" t="n">
        <v>84239</v>
      </c>
      <c r="D117" s="2" t="n">
        <v>536</v>
      </c>
      <c r="E117" s="2" t="n">
        <v>2018187</v>
      </c>
      <c r="F117" s="2" t="n">
        <v>13756</v>
      </c>
      <c r="G117" s="2" t="s">
        <v>8</v>
      </c>
    </row>
    <row r="118" customFormat="false" ht="15" hidden="false" customHeight="false" outlineLevel="0" collapsed="false">
      <c r="A118" s="2" t="n">
        <v>117</v>
      </c>
      <c r="B118" s="2" t="n">
        <v>22</v>
      </c>
      <c r="C118" s="2" t="n">
        <v>91681</v>
      </c>
      <c r="D118" s="2" t="n">
        <v>808</v>
      </c>
      <c r="E118" s="2" t="n">
        <v>1342494</v>
      </c>
      <c r="F118" s="2" t="n">
        <v>16290</v>
      </c>
      <c r="G118" s="2" t="s">
        <v>7</v>
      </c>
    </row>
    <row r="119" customFormat="false" ht="15" hidden="false" customHeight="false" outlineLevel="0" collapsed="false">
      <c r="A119" s="2" t="n">
        <v>118</v>
      </c>
      <c r="B119" s="2" t="n">
        <v>26</v>
      </c>
      <c r="C119" s="2" t="n">
        <v>91334</v>
      </c>
      <c r="D119" s="2" t="n">
        <v>523</v>
      </c>
      <c r="E119" s="2" t="n">
        <v>1281167</v>
      </c>
      <c r="F119" s="2" t="n">
        <v>23522</v>
      </c>
      <c r="G119" s="2" t="s">
        <v>8</v>
      </c>
    </row>
    <row r="120" customFormat="false" ht="15" hidden="false" customHeight="false" outlineLevel="0" collapsed="false">
      <c r="A120" s="2" t="n">
        <v>119</v>
      </c>
      <c r="B120" s="2" t="n">
        <v>30</v>
      </c>
      <c r="C120" s="2" t="n">
        <v>113569</v>
      </c>
      <c r="D120" s="2" t="n">
        <v>666</v>
      </c>
      <c r="E120" s="2" t="n">
        <v>665700</v>
      </c>
      <c r="F120" s="2" t="n">
        <v>7634</v>
      </c>
      <c r="G120" s="2" t="s">
        <v>7</v>
      </c>
    </row>
    <row r="121" customFormat="false" ht="15" hidden="false" customHeight="false" outlineLevel="0" collapsed="false">
      <c r="A121" s="2" t="n">
        <v>120</v>
      </c>
      <c r="B121" s="2" t="n">
        <v>25</v>
      </c>
      <c r="C121" s="2" t="n">
        <v>95707</v>
      </c>
      <c r="D121" s="2" t="n">
        <v>708</v>
      </c>
      <c r="E121" s="2" t="n">
        <v>1539024</v>
      </c>
      <c r="F121" s="2" t="n">
        <v>19092</v>
      </c>
      <c r="G121" s="2" t="s">
        <v>7</v>
      </c>
    </row>
    <row r="122" customFormat="false" ht="15" hidden="false" customHeight="false" outlineLevel="0" collapsed="false">
      <c r="A122" s="2" t="n">
        <v>121</v>
      </c>
      <c r="B122" s="2" t="n">
        <v>38</v>
      </c>
      <c r="C122" s="2" t="n">
        <v>48671</v>
      </c>
      <c r="D122" s="2" t="n">
        <v>625</v>
      </c>
      <c r="E122" s="2" t="n">
        <v>433925</v>
      </c>
      <c r="F122" s="2" t="n">
        <v>26180</v>
      </c>
      <c r="G122" s="2" t="s">
        <v>8</v>
      </c>
    </row>
    <row r="123" customFormat="false" ht="15" hidden="false" customHeight="false" outlineLevel="0" collapsed="false">
      <c r="A123" s="2" t="n">
        <v>122</v>
      </c>
      <c r="B123" s="2" t="n">
        <v>47</v>
      </c>
      <c r="C123" s="2" t="n">
        <v>26312</v>
      </c>
      <c r="D123" s="2" t="n">
        <v>551</v>
      </c>
      <c r="E123" s="2" t="n">
        <v>2334966</v>
      </c>
      <c r="F123" s="2" t="n">
        <v>17172</v>
      </c>
      <c r="G123" s="2" t="s">
        <v>8</v>
      </c>
    </row>
    <row r="124" customFormat="false" ht="15" hidden="false" customHeight="false" outlineLevel="0" collapsed="false">
      <c r="A124" s="2" t="n">
        <v>123</v>
      </c>
      <c r="B124" s="2" t="n">
        <v>46</v>
      </c>
      <c r="C124" s="2" t="n">
        <v>79537</v>
      </c>
      <c r="D124" s="2" t="n">
        <v>567</v>
      </c>
      <c r="E124" s="2" t="n">
        <v>2128106</v>
      </c>
      <c r="F124" s="2" t="n">
        <v>13396</v>
      </c>
      <c r="G124" s="2" t="s">
        <v>8</v>
      </c>
    </row>
    <row r="125" customFormat="false" ht="15" hidden="false" customHeight="false" outlineLevel="0" collapsed="false">
      <c r="A125" s="2" t="n">
        <v>124</v>
      </c>
      <c r="B125" s="2" t="n">
        <v>39</v>
      </c>
      <c r="C125" s="2" t="n">
        <v>111181</v>
      </c>
      <c r="D125" s="2" t="n">
        <v>788</v>
      </c>
      <c r="E125" s="2" t="n">
        <v>387360</v>
      </c>
      <c r="F125" s="2" t="n">
        <v>4353</v>
      </c>
      <c r="G125" s="2" t="s">
        <v>7</v>
      </c>
    </row>
    <row r="126" customFormat="false" ht="15" hidden="false" customHeight="false" outlineLevel="0" collapsed="false">
      <c r="A126" s="2" t="n">
        <v>125</v>
      </c>
      <c r="B126" s="2" t="n">
        <v>54</v>
      </c>
      <c r="C126" s="2" t="n">
        <v>117391</v>
      </c>
      <c r="D126" s="2" t="n">
        <v>611</v>
      </c>
      <c r="E126" s="2" t="n">
        <v>1986294</v>
      </c>
      <c r="F126" s="2" t="n">
        <v>7448</v>
      </c>
      <c r="G126" s="2" t="s">
        <v>7</v>
      </c>
    </row>
    <row r="127" customFormat="false" ht="15" hidden="false" customHeight="false" outlineLevel="0" collapsed="false">
      <c r="A127" s="2" t="n">
        <v>126</v>
      </c>
      <c r="B127" s="2" t="n">
        <v>43</v>
      </c>
      <c r="C127" s="2" t="n">
        <v>39172</v>
      </c>
      <c r="D127" s="2" t="n">
        <v>608</v>
      </c>
      <c r="E127" s="2" t="n">
        <v>381048</v>
      </c>
      <c r="F127" s="2" t="n">
        <v>28380</v>
      </c>
      <c r="G127" s="2" t="s">
        <v>8</v>
      </c>
    </row>
    <row r="128" customFormat="false" ht="15" hidden="false" customHeight="false" outlineLevel="0" collapsed="false">
      <c r="A128" s="2" t="n">
        <v>127</v>
      </c>
      <c r="B128" s="2" t="n">
        <v>24</v>
      </c>
      <c r="C128" s="2" t="n">
        <v>39827</v>
      </c>
      <c r="D128" s="2" t="n">
        <v>823</v>
      </c>
      <c r="E128" s="2" t="n">
        <v>1830940</v>
      </c>
      <c r="F128" s="2" t="n">
        <v>16237</v>
      </c>
      <c r="G128" s="2" t="s">
        <v>7</v>
      </c>
    </row>
    <row r="129" customFormat="false" ht="15" hidden="false" customHeight="false" outlineLevel="0" collapsed="false">
      <c r="A129" s="2" t="n">
        <v>128</v>
      </c>
      <c r="B129" s="2" t="n">
        <v>50</v>
      </c>
      <c r="C129" s="2" t="n">
        <v>18928</v>
      </c>
      <c r="D129" s="2" t="n">
        <v>550</v>
      </c>
      <c r="E129" s="2" t="n">
        <v>310501</v>
      </c>
      <c r="F129" s="2" t="n">
        <v>9040</v>
      </c>
      <c r="G129" s="2" t="s">
        <v>8</v>
      </c>
    </row>
    <row r="130" customFormat="false" ht="15" hidden="false" customHeight="false" outlineLevel="0" collapsed="false">
      <c r="A130" s="2" t="n">
        <v>129</v>
      </c>
      <c r="B130" s="2" t="n">
        <v>43</v>
      </c>
      <c r="C130" s="2" t="n">
        <v>29832</v>
      </c>
      <c r="D130" s="2" t="n">
        <v>820</v>
      </c>
      <c r="E130" s="2" t="n">
        <v>1271664</v>
      </c>
      <c r="F130" s="2" t="n">
        <v>12551</v>
      </c>
      <c r="G130" s="2" t="s">
        <v>7</v>
      </c>
    </row>
    <row r="131" customFormat="false" ht="15" hidden="false" customHeight="false" outlineLevel="0" collapsed="false">
      <c r="A131" s="2" t="n">
        <v>130</v>
      </c>
      <c r="B131" s="2" t="n">
        <v>45</v>
      </c>
      <c r="C131" s="2" t="n">
        <v>73259</v>
      </c>
      <c r="D131" s="2" t="n">
        <v>822</v>
      </c>
      <c r="E131" s="2" t="n">
        <v>1678871</v>
      </c>
      <c r="F131" s="2" t="n">
        <v>17340</v>
      </c>
      <c r="G131" s="2" t="s">
        <v>7</v>
      </c>
    </row>
    <row r="132" customFormat="false" ht="15" hidden="false" customHeight="false" outlineLevel="0" collapsed="false">
      <c r="A132" s="2" t="n">
        <v>131</v>
      </c>
      <c r="B132" s="2" t="n">
        <v>43</v>
      </c>
      <c r="C132" s="2" t="n">
        <v>72414</v>
      </c>
      <c r="D132" s="2" t="n">
        <v>709</v>
      </c>
      <c r="E132" s="2" t="n">
        <v>1849146</v>
      </c>
      <c r="F132" s="2" t="n">
        <v>16126</v>
      </c>
      <c r="G132" s="2" t="s">
        <v>7</v>
      </c>
    </row>
    <row r="133" customFormat="false" ht="15" hidden="false" customHeight="false" outlineLevel="0" collapsed="false">
      <c r="A133" s="2" t="n">
        <v>132</v>
      </c>
      <c r="B133" s="2" t="n">
        <v>42</v>
      </c>
      <c r="C133" s="2" t="n">
        <v>53946</v>
      </c>
      <c r="D133" s="2" t="n">
        <v>557</v>
      </c>
      <c r="E133" s="2" t="n">
        <v>1104659</v>
      </c>
      <c r="F133" s="2" t="n">
        <v>20993</v>
      </c>
      <c r="G133" s="2" t="s">
        <v>8</v>
      </c>
    </row>
    <row r="134" customFormat="false" ht="15" hidden="false" customHeight="false" outlineLevel="0" collapsed="false">
      <c r="A134" s="2" t="n">
        <v>133</v>
      </c>
      <c r="B134" s="2" t="n">
        <v>24</v>
      </c>
      <c r="C134" s="2" t="n">
        <v>47545</v>
      </c>
      <c r="D134" s="2" t="n">
        <v>554</v>
      </c>
      <c r="E134" s="2" t="n">
        <v>2311896</v>
      </c>
      <c r="F134" s="2" t="n">
        <v>7724</v>
      </c>
      <c r="G134" s="2" t="s">
        <v>8</v>
      </c>
    </row>
    <row r="135" customFormat="false" ht="15" hidden="false" customHeight="false" outlineLevel="0" collapsed="false">
      <c r="A135" s="2" t="n">
        <v>134</v>
      </c>
      <c r="B135" s="2" t="n">
        <v>42</v>
      </c>
      <c r="C135" s="2" t="n">
        <v>102127</v>
      </c>
      <c r="D135" s="2" t="n">
        <v>599</v>
      </c>
      <c r="E135" s="2" t="n">
        <v>1958371</v>
      </c>
      <c r="F135" s="2" t="n">
        <v>19476</v>
      </c>
      <c r="G135" s="2" t="s">
        <v>7</v>
      </c>
    </row>
    <row r="136" customFormat="false" ht="15" hidden="false" customHeight="false" outlineLevel="0" collapsed="false">
      <c r="A136" s="2" t="n">
        <v>135</v>
      </c>
      <c r="B136" s="2" t="n">
        <v>52</v>
      </c>
      <c r="C136" s="2" t="n">
        <v>63303</v>
      </c>
      <c r="D136" s="2" t="n">
        <v>702</v>
      </c>
      <c r="E136" s="2" t="n">
        <v>599835</v>
      </c>
      <c r="F136" s="2" t="n">
        <v>13280</v>
      </c>
      <c r="G136" s="2" t="s">
        <v>7</v>
      </c>
    </row>
    <row r="137" customFormat="false" ht="15" hidden="false" customHeight="false" outlineLevel="0" collapsed="false">
      <c r="A137" s="2" t="n">
        <v>136</v>
      </c>
      <c r="B137" s="2" t="n">
        <v>32</v>
      </c>
      <c r="C137" s="2" t="n">
        <v>99866</v>
      </c>
      <c r="D137" s="2" t="n">
        <v>553</v>
      </c>
      <c r="E137" s="2" t="n">
        <v>1710955</v>
      </c>
      <c r="F137" s="2" t="n">
        <v>28217</v>
      </c>
      <c r="G137" s="2" t="s">
        <v>7</v>
      </c>
    </row>
    <row r="138" customFormat="false" ht="15" hidden="false" customHeight="false" outlineLevel="0" collapsed="false">
      <c r="A138" s="2" t="n">
        <v>137</v>
      </c>
      <c r="B138" s="2" t="n">
        <v>44</v>
      </c>
      <c r="C138" s="2" t="n">
        <v>116137</v>
      </c>
      <c r="D138" s="2" t="n">
        <v>659</v>
      </c>
      <c r="E138" s="2" t="n">
        <v>1853283</v>
      </c>
      <c r="F138" s="2" t="n">
        <v>4737</v>
      </c>
      <c r="G138" s="2" t="s">
        <v>7</v>
      </c>
    </row>
    <row r="139" customFormat="false" ht="15" hidden="false" customHeight="false" outlineLevel="0" collapsed="false">
      <c r="A139" s="2" t="n">
        <v>138</v>
      </c>
      <c r="B139" s="2" t="n">
        <v>22</v>
      </c>
      <c r="C139" s="2" t="n">
        <v>48299</v>
      </c>
      <c r="D139" s="2" t="n">
        <v>540</v>
      </c>
      <c r="E139" s="2" t="n">
        <v>900730</v>
      </c>
      <c r="F139" s="2" t="n">
        <v>4453</v>
      </c>
      <c r="G139" s="2" t="s">
        <v>8</v>
      </c>
    </row>
    <row r="140" customFormat="false" ht="15" hidden="false" customHeight="false" outlineLevel="0" collapsed="false">
      <c r="A140" s="2" t="n">
        <v>139</v>
      </c>
      <c r="B140" s="2" t="n">
        <v>34</v>
      </c>
      <c r="C140" s="2" t="n">
        <v>36287</v>
      </c>
      <c r="D140" s="2" t="n">
        <v>689</v>
      </c>
      <c r="E140" s="2" t="n">
        <v>1871755</v>
      </c>
      <c r="F140" s="2" t="n">
        <v>13849</v>
      </c>
      <c r="G140" s="2" t="s">
        <v>7</v>
      </c>
    </row>
    <row r="141" customFormat="false" ht="15" hidden="false" customHeight="false" outlineLevel="0" collapsed="false">
      <c r="A141" s="2" t="n">
        <v>140</v>
      </c>
      <c r="B141" s="2" t="n">
        <v>38</v>
      </c>
      <c r="C141" s="2" t="n">
        <v>115054</v>
      </c>
      <c r="D141" s="2" t="n">
        <v>507</v>
      </c>
      <c r="E141" s="2" t="n">
        <v>2256079</v>
      </c>
      <c r="F141" s="2" t="n">
        <v>15250</v>
      </c>
      <c r="G141" s="2" t="s">
        <v>7</v>
      </c>
    </row>
    <row r="142" customFormat="false" ht="15" hidden="false" customHeight="false" outlineLevel="0" collapsed="false">
      <c r="A142" s="2" t="n">
        <v>141</v>
      </c>
      <c r="B142" s="2" t="n">
        <v>59</v>
      </c>
      <c r="C142" s="2" t="n">
        <v>81657</v>
      </c>
      <c r="D142" s="2" t="n">
        <v>748</v>
      </c>
      <c r="E142" s="2" t="n">
        <v>2061074</v>
      </c>
      <c r="F142" s="2" t="n">
        <v>20726</v>
      </c>
      <c r="G142" s="2" t="s">
        <v>7</v>
      </c>
    </row>
    <row r="143" customFormat="false" ht="15" hidden="false" customHeight="false" outlineLevel="0" collapsed="false">
      <c r="A143" s="2" t="n">
        <v>142</v>
      </c>
      <c r="B143" s="2" t="n">
        <v>29</v>
      </c>
      <c r="C143" s="2" t="n">
        <v>45546</v>
      </c>
      <c r="D143" s="2" t="n">
        <v>519</v>
      </c>
      <c r="E143" s="2" t="n">
        <v>1930077</v>
      </c>
      <c r="F143" s="2" t="n">
        <v>12121</v>
      </c>
      <c r="G143" s="2" t="s">
        <v>8</v>
      </c>
    </row>
    <row r="144" customFormat="false" ht="15" hidden="false" customHeight="false" outlineLevel="0" collapsed="false">
      <c r="A144" s="2" t="n">
        <v>143</v>
      </c>
      <c r="B144" s="2" t="n">
        <v>31</v>
      </c>
      <c r="C144" s="2" t="n">
        <v>80295</v>
      </c>
      <c r="D144" s="2" t="n">
        <v>568</v>
      </c>
      <c r="E144" s="2" t="n">
        <v>1622793</v>
      </c>
      <c r="F144" s="2" t="n">
        <v>27411</v>
      </c>
      <c r="G144" s="2" t="s">
        <v>8</v>
      </c>
    </row>
    <row r="145" customFormat="false" ht="15" hidden="false" customHeight="false" outlineLevel="0" collapsed="false">
      <c r="A145" s="2" t="n">
        <v>144</v>
      </c>
      <c r="B145" s="2" t="n">
        <v>36</v>
      </c>
      <c r="C145" s="2" t="n">
        <v>69080</v>
      </c>
      <c r="D145" s="2" t="n">
        <v>561</v>
      </c>
      <c r="E145" s="2" t="n">
        <v>749283</v>
      </c>
      <c r="F145" s="2" t="n">
        <v>14225</v>
      </c>
      <c r="G145" s="2" t="s">
        <v>7</v>
      </c>
    </row>
    <row r="146" customFormat="false" ht="15" hidden="false" customHeight="false" outlineLevel="0" collapsed="false">
      <c r="A146" s="2" t="n">
        <v>145</v>
      </c>
      <c r="B146" s="2" t="n">
        <v>59</v>
      </c>
      <c r="C146" s="2" t="n">
        <v>110080</v>
      </c>
      <c r="D146" s="2" t="n">
        <v>790</v>
      </c>
      <c r="E146" s="2" t="n">
        <v>2008535</v>
      </c>
      <c r="F146" s="2" t="n">
        <v>3880</v>
      </c>
      <c r="G146" s="2" t="s">
        <v>7</v>
      </c>
    </row>
    <row r="147" customFormat="false" ht="15" hidden="false" customHeight="false" outlineLevel="0" collapsed="false">
      <c r="A147" s="2" t="n">
        <v>146</v>
      </c>
      <c r="B147" s="2" t="n">
        <v>54</v>
      </c>
      <c r="C147" s="2" t="n">
        <v>41876</v>
      </c>
      <c r="D147" s="2" t="n">
        <v>518</v>
      </c>
      <c r="E147" s="2" t="n">
        <v>974060</v>
      </c>
      <c r="F147" s="2" t="n">
        <v>3576</v>
      </c>
      <c r="G147" s="2" t="s">
        <v>8</v>
      </c>
    </row>
    <row r="148" customFormat="false" ht="15" hidden="false" customHeight="false" outlineLevel="0" collapsed="false">
      <c r="A148" s="2" t="n">
        <v>147</v>
      </c>
      <c r="B148" s="2" t="n">
        <v>22</v>
      </c>
      <c r="C148" s="2" t="n">
        <v>119095</v>
      </c>
      <c r="D148" s="2" t="n">
        <v>650</v>
      </c>
      <c r="E148" s="2" t="n">
        <v>1377272</v>
      </c>
      <c r="F148" s="2" t="n">
        <v>29202</v>
      </c>
      <c r="G148" s="2" t="s">
        <v>7</v>
      </c>
    </row>
    <row r="149" customFormat="false" ht="15" hidden="false" customHeight="false" outlineLevel="0" collapsed="false">
      <c r="A149" s="2" t="n">
        <v>148</v>
      </c>
      <c r="B149" s="2" t="n">
        <v>30</v>
      </c>
      <c r="C149" s="2" t="n">
        <v>113284</v>
      </c>
      <c r="D149" s="2" t="n">
        <v>706</v>
      </c>
      <c r="E149" s="2" t="n">
        <v>854655</v>
      </c>
      <c r="F149" s="2" t="n">
        <v>4022</v>
      </c>
      <c r="G149" s="2" t="s">
        <v>7</v>
      </c>
    </row>
    <row r="150" customFormat="false" ht="15" hidden="false" customHeight="false" outlineLevel="0" collapsed="false">
      <c r="A150" s="2" t="n">
        <v>149</v>
      </c>
      <c r="B150" s="2" t="n">
        <v>53</v>
      </c>
      <c r="C150" s="2" t="n">
        <v>33973</v>
      </c>
      <c r="D150" s="2" t="n">
        <v>680</v>
      </c>
      <c r="E150" s="2" t="n">
        <v>851240</v>
      </c>
      <c r="F150" s="2" t="n">
        <v>28435</v>
      </c>
      <c r="G150" s="2" t="s">
        <v>8</v>
      </c>
    </row>
    <row r="151" customFormat="false" ht="15" hidden="false" customHeight="false" outlineLevel="0" collapsed="false">
      <c r="A151" s="2" t="n">
        <v>150</v>
      </c>
      <c r="B151" s="2" t="n">
        <v>23</v>
      </c>
      <c r="C151" s="2" t="n">
        <v>32283</v>
      </c>
      <c r="D151" s="2" t="n">
        <v>738</v>
      </c>
      <c r="E151" s="2" t="n">
        <v>478267</v>
      </c>
      <c r="F151" s="2" t="n">
        <v>8342</v>
      </c>
      <c r="G151" s="2" t="s">
        <v>7</v>
      </c>
    </row>
    <row r="152" customFormat="false" ht="15" hidden="false" customHeight="false" outlineLevel="0" collapsed="false">
      <c r="A152" s="2" t="n">
        <v>151</v>
      </c>
      <c r="B152" s="2" t="n">
        <v>54</v>
      </c>
      <c r="C152" s="2" t="n">
        <v>70981</v>
      </c>
      <c r="D152" s="2" t="n">
        <v>781</v>
      </c>
      <c r="E152" s="2" t="n">
        <v>2407114</v>
      </c>
      <c r="F152" s="2" t="n">
        <v>2802</v>
      </c>
      <c r="G152" s="2" t="s">
        <v>7</v>
      </c>
    </row>
    <row r="153" customFormat="false" ht="15" hidden="false" customHeight="false" outlineLevel="0" collapsed="false">
      <c r="A153" s="2" t="n">
        <v>152</v>
      </c>
      <c r="B153" s="2" t="n">
        <v>31</v>
      </c>
      <c r="C153" s="2" t="n">
        <v>19715</v>
      </c>
      <c r="D153" s="2" t="n">
        <v>637</v>
      </c>
      <c r="E153" s="2" t="n">
        <v>454680</v>
      </c>
      <c r="F153" s="2" t="n">
        <v>9141</v>
      </c>
      <c r="G153" s="2" t="s">
        <v>8</v>
      </c>
    </row>
    <row r="154" customFormat="false" ht="15" hidden="false" customHeight="false" outlineLevel="0" collapsed="false">
      <c r="A154" s="2" t="n">
        <v>153</v>
      </c>
      <c r="B154" s="2" t="n">
        <v>56</v>
      </c>
      <c r="C154" s="2" t="n">
        <v>46373</v>
      </c>
      <c r="D154" s="2" t="n">
        <v>789</v>
      </c>
      <c r="E154" s="2" t="n">
        <v>307021</v>
      </c>
      <c r="F154" s="2" t="n">
        <v>18440</v>
      </c>
      <c r="G154" s="2" t="s">
        <v>7</v>
      </c>
    </row>
    <row r="155" customFormat="false" ht="15" hidden="false" customHeight="false" outlineLevel="0" collapsed="false">
      <c r="A155" s="2" t="n">
        <v>154</v>
      </c>
      <c r="B155" s="2" t="n">
        <v>32</v>
      </c>
      <c r="C155" s="2" t="n">
        <v>60685</v>
      </c>
      <c r="D155" s="2" t="n">
        <v>611</v>
      </c>
      <c r="E155" s="2" t="n">
        <v>2346705</v>
      </c>
      <c r="F155" s="2" t="n">
        <v>12837</v>
      </c>
      <c r="G155" s="2" t="s">
        <v>8</v>
      </c>
    </row>
    <row r="156" customFormat="false" ht="15" hidden="false" customHeight="false" outlineLevel="0" collapsed="false">
      <c r="A156" s="2" t="n">
        <v>155</v>
      </c>
      <c r="B156" s="2" t="n">
        <v>37</v>
      </c>
      <c r="C156" s="2" t="n">
        <v>116784</v>
      </c>
      <c r="D156" s="2" t="n">
        <v>844</v>
      </c>
      <c r="E156" s="2" t="n">
        <v>1432031</v>
      </c>
      <c r="F156" s="2" t="n">
        <v>23567</v>
      </c>
      <c r="G156" s="2" t="s">
        <v>7</v>
      </c>
    </row>
    <row r="157" customFormat="false" ht="15" hidden="false" customHeight="false" outlineLevel="0" collapsed="false">
      <c r="A157" s="2" t="n">
        <v>156</v>
      </c>
      <c r="B157" s="2" t="n">
        <v>46</v>
      </c>
      <c r="C157" s="2" t="n">
        <v>119199</v>
      </c>
      <c r="D157" s="2" t="n">
        <v>676</v>
      </c>
      <c r="E157" s="2" t="n">
        <v>1150969</v>
      </c>
      <c r="F157" s="2" t="n">
        <v>18329</v>
      </c>
      <c r="G157" s="2" t="s">
        <v>7</v>
      </c>
    </row>
    <row r="158" customFormat="false" ht="15" hidden="false" customHeight="false" outlineLevel="0" collapsed="false">
      <c r="A158" s="2" t="n">
        <v>157</v>
      </c>
      <c r="B158" s="2" t="n">
        <v>25</v>
      </c>
      <c r="C158" s="2" t="n">
        <v>30911</v>
      </c>
      <c r="D158" s="2" t="n">
        <v>757</v>
      </c>
      <c r="E158" s="2" t="n">
        <v>1869979</v>
      </c>
      <c r="F158" s="2" t="n">
        <v>12023</v>
      </c>
      <c r="G158" s="2" t="s">
        <v>8</v>
      </c>
    </row>
    <row r="159" customFormat="false" ht="15" hidden="false" customHeight="false" outlineLevel="0" collapsed="false">
      <c r="A159" s="2" t="n">
        <v>158</v>
      </c>
      <c r="B159" s="2" t="n">
        <v>42</v>
      </c>
      <c r="C159" s="2" t="n">
        <v>108626</v>
      </c>
      <c r="D159" s="2" t="n">
        <v>806</v>
      </c>
      <c r="E159" s="2" t="n">
        <v>1019967</v>
      </c>
      <c r="F159" s="2" t="n">
        <v>19038</v>
      </c>
      <c r="G159" s="2" t="s">
        <v>7</v>
      </c>
    </row>
    <row r="160" customFormat="false" ht="15" hidden="false" customHeight="false" outlineLevel="0" collapsed="false">
      <c r="A160" s="2" t="n">
        <v>159</v>
      </c>
      <c r="B160" s="2" t="n">
        <v>40</v>
      </c>
      <c r="C160" s="2" t="n">
        <v>24547</v>
      </c>
      <c r="D160" s="2" t="n">
        <v>777</v>
      </c>
      <c r="E160" s="2" t="n">
        <v>407011</v>
      </c>
      <c r="F160" s="2" t="n">
        <v>29143</v>
      </c>
      <c r="G160" s="2" t="s">
        <v>7</v>
      </c>
    </row>
    <row r="161" customFormat="false" ht="15" hidden="false" customHeight="false" outlineLevel="0" collapsed="false">
      <c r="A161" s="2" t="n">
        <v>160</v>
      </c>
      <c r="B161" s="2" t="n">
        <v>51</v>
      </c>
      <c r="C161" s="2" t="n">
        <v>93603</v>
      </c>
      <c r="D161" s="2" t="n">
        <v>797</v>
      </c>
      <c r="E161" s="2" t="n">
        <v>1851245</v>
      </c>
      <c r="F161" s="2" t="n">
        <v>12354</v>
      </c>
      <c r="G161" s="2" t="s">
        <v>7</v>
      </c>
    </row>
    <row r="162" customFormat="false" ht="15" hidden="false" customHeight="false" outlineLevel="0" collapsed="false">
      <c r="A162" s="2" t="n">
        <v>161</v>
      </c>
      <c r="B162" s="2" t="n">
        <v>59</v>
      </c>
      <c r="C162" s="2" t="n">
        <v>103792</v>
      </c>
      <c r="D162" s="2" t="n">
        <v>687</v>
      </c>
      <c r="E162" s="2" t="n">
        <v>522398</v>
      </c>
      <c r="F162" s="2" t="n">
        <v>4603</v>
      </c>
      <c r="G162" s="2" t="s">
        <v>7</v>
      </c>
    </row>
    <row r="163" customFormat="false" ht="15" hidden="false" customHeight="false" outlineLevel="0" collapsed="false">
      <c r="A163" s="2" t="n">
        <v>162</v>
      </c>
      <c r="B163" s="2" t="n">
        <v>46</v>
      </c>
      <c r="C163" s="2" t="n">
        <v>108533</v>
      </c>
      <c r="D163" s="2" t="n">
        <v>515</v>
      </c>
      <c r="E163" s="2" t="n">
        <v>1427183</v>
      </c>
      <c r="F163" s="2" t="n">
        <v>12263</v>
      </c>
      <c r="G163" s="2" t="s">
        <v>7</v>
      </c>
    </row>
    <row r="164" customFormat="false" ht="15" hidden="false" customHeight="false" outlineLevel="0" collapsed="false">
      <c r="A164" s="2" t="n">
        <v>163</v>
      </c>
      <c r="B164" s="2" t="n">
        <v>36</v>
      </c>
      <c r="C164" s="2" t="n">
        <v>38458</v>
      </c>
      <c r="D164" s="2" t="n">
        <v>672</v>
      </c>
      <c r="E164" s="2" t="n">
        <v>2377758</v>
      </c>
      <c r="F164" s="2" t="n">
        <v>25203</v>
      </c>
      <c r="G164" s="2" t="s">
        <v>8</v>
      </c>
    </row>
    <row r="165" customFormat="false" ht="15" hidden="false" customHeight="false" outlineLevel="0" collapsed="false">
      <c r="A165" s="2" t="n">
        <v>164</v>
      </c>
      <c r="B165" s="2" t="n">
        <v>36</v>
      </c>
      <c r="C165" s="2" t="n">
        <v>108811</v>
      </c>
      <c r="D165" s="2" t="n">
        <v>563</v>
      </c>
      <c r="E165" s="2" t="n">
        <v>2346735</v>
      </c>
      <c r="F165" s="2" t="n">
        <v>6528</v>
      </c>
      <c r="G165" s="2" t="s">
        <v>7</v>
      </c>
    </row>
    <row r="166" customFormat="false" ht="15" hidden="false" customHeight="false" outlineLevel="0" collapsed="false">
      <c r="A166" s="2" t="n">
        <v>165</v>
      </c>
      <c r="B166" s="2" t="n">
        <v>37</v>
      </c>
      <c r="C166" s="2" t="n">
        <v>27177</v>
      </c>
      <c r="D166" s="2" t="n">
        <v>811</v>
      </c>
      <c r="E166" s="2" t="n">
        <v>965879</v>
      </c>
      <c r="F166" s="2" t="n">
        <v>28474</v>
      </c>
      <c r="G166" s="2" t="s">
        <v>7</v>
      </c>
    </row>
    <row r="167" customFormat="false" ht="15" hidden="false" customHeight="false" outlineLevel="0" collapsed="false">
      <c r="A167" s="2" t="n">
        <v>166</v>
      </c>
      <c r="B167" s="2" t="n">
        <v>52</v>
      </c>
      <c r="C167" s="2" t="n">
        <v>69480</v>
      </c>
      <c r="D167" s="2" t="n">
        <v>582</v>
      </c>
      <c r="E167" s="2" t="n">
        <v>1972723</v>
      </c>
      <c r="F167" s="2" t="n">
        <v>17649</v>
      </c>
      <c r="G167" s="2" t="s">
        <v>8</v>
      </c>
    </row>
    <row r="168" customFormat="false" ht="15" hidden="false" customHeight="false" outlineLevel="0" collapsed="false">
      <c r="A168" s="2" t="n">
        <v>167</v>
      </c>
      <c r="B168" s="2" t="n">
        <v>33</v>
      </c>
      <c r="C168" s="2" t="n">
        <v>64302</v>
      </c>
      <c r="D168" s="2" t="n">
        <v>579</v>
      </c>
      <c r="E168" s="2" t="n">
        <v>1570421</v>
      </c>
      <c r="F168" s="2" t="n">
        <v>18047</v>
      </c>
      <c r="G168" s="2" t="s">
        <v>8</v>
      </c>
    </row>
    <row r="169" customFormat="false" ht="15" hidden="false" customHeight="false" outlineLevel="0" collapsed="false">
      <c r="A169" s="2" t="n">
        <v>168</v>
      </c>
      <c r="B169" s="2" t="n">
        <v>27</v>
      </c>
      <c r="C169" s="2" t="n">
        <v>48172</v>
      </c>
      <c r="D169" s="2" t="n">
        <v>587</v>
      </c>
      <c r="E169" s="2" t="n">
        <v>1250486</v>
      </c>
      <c r="F169" s="2" t="n">
        <v>9511</v>
      </c>
      <c r="G169" s="2" t="s">
        <v>8</v>
      </c>
    </row>
    <row r="170" customFormat="false" ht="15" hidden="false" customHeight="false" outlineLevel="0" collapsed="false">
      <c r="A170" s="2" t="n">
        <v>169</v>
      </c>
      <c r="B170" s="2" t="n">
        <v>34</v>
      </c>
      <c r="C170" s="2" t="n">
        <v>17321</v>
      </c>
      <c r="D170" s="2" t="n">
        <v>724</v>
      </c>
      <c r="E170" s="2" t="n">
        <v>435827</v>
      </c>
      <c r="F170" s="2" t="n">
        <v>27613</v>
      </c>
      <c r="G170" s="2" t="s">
        <v>8</v>
      </c>
    </row>
    <row r="171" customFormat="false" ht="15" hidden="false" customHeight="false" outlineLevel="0" collapsed="false">
      <c r="A171" s="2" t="n">
        <v>170</v>
      </c>
      <c r="B171" s="2" t="n">
        <v>21</v>
      </c>
      <c r="C171" s="2" t="n">
        <v>96061</v>
      </c>
      <c r="D171" s="2" t="n">
        <v>699</v>
      </c>
      <c r="E171" s="2" t="n">
        <v>1003262</v>
      </c>
      <c r="F171" s="2" t="n">
        <v>1081</v>
      </c>
      <c r="G171" s="2" t="s">
        <v>7</v>
      </c>
    </row>
    <row r="172" customFormat="false" ht="15" hidden="false" customHeight="false" outlineLevel="0" collapsed="false">
      <c r="A172" s="2" t="n">
        <v>171</v>
      </c>
      <c r="B172" s="2" t="n">
        <v>25</v>
      </c>
      <c r="C172" s="2" t="n">
        <v>50236</v>
      </c>
      <c r="D172" s="2" t="n">
        <v>832</v>
      </c>
      <c r="E172" s="2" t="n">
        <v>1664603</v>
      </c>
      <c r="F172" s="2" t="n">
        <v>8960</v>
      </c>
      <c r="G172" s="2" t="s">
        <v>7</v>
      </c>
    </row>
    <row r="173" customFormat="false" ht="15" hidden="false" customHeight="false" outlineLevel="0" collapsed="false">
      <c r="A173" s="2" t="n">
        <v>172</v>
      </c>
      <c r="B173" s="2" t="n">
        <v>24</v>
      </c>
      <c r="C173" s="2" t="n">
        <v>84474</v>
      </c>
      <c r="D173" s="2" t="n">
        <v>645</v>
      </c>
      <c r="E173" s="2" t="n">
        <v>2467915</v>
      </c>
      <c r="F173" s="2" t="n">
        <v>12552</v>
      </c>
      <c r="G173" s="2" t="s">
        <v>7</v>
      </c>
    </row>
    <row r="174" customFormat="false" ht="15" hidden="false" customHeight="false" outlineLevel="0" collapsed="false">
      <c r="A174" s="2" t="n">
        <v>173</v>
      </c>
      <c r="B174" s="2" t="n">
        <v>51</v>
      </c>
      <c r="C174" s="2" t="n">
        <v>58073</v>
      </c>
      <c r="D174" s="2" t="n">
        <v>598</v>
      </c>
      <c r="E174" s="2" t="n">
        <v>111737</v>
      </c>
      <c r="F174" s="2" t="n">
        <v>14318</v>
      </c>
      <c r="G174" s="2" t="s">
        <v>7</v>
      </c>
    </row>
    <row r="175" customFormat="false" ht="15" hidden="false" customHeight="false" outlineLevel="0" collapsed="false">
      <c r="A175" s="2" t="n">
        <v>174</v>
      </c>
      <c r="B175" s="2" t="n">
        <v>49</v>
      </c>
      <c r="C175" s="2" t="n">
        <v>54234</v>
      </c>
      <c r="D175" s="2" t="n">
        <v>517</v>
      </c>
      <c r="E175" s="2" t="n">
        <v>1822624</v>
      </c>
      <c r="F175" s="2" t="n">
        <v>14223</v>
      </c>
      <c r="G175" s="2" t="s">
        <v>8</v>
      </c>
    </row>
    <row r="176" customFormat="false" ht="15" hidden="false" customHeight="false" outlineLevel="0" collapsed="false">
      <c r="A176" s="2" t="n">
        <v>175</v>
      </c>
      <c r="B176" s="2" t="n">
        <v>48</v>
      </c>
      <c r="C176" s="2" t="n">
        <v>108061</v>
      </c>
      <c r="D176" s="2" t="n">
        <v>502</v>
      </c>
      <c r="E176" s="2" t="n">
        <v>2131208</v>
      </c>
      <c r="F176" s="2" t="n">
        <v>4437</v>
      </c>
      <c r="G176" s="2" t="s">
        <v>7</v>
      </c>
    </row>
    <row r="177" customFormat="false" ht="15" hidden="false" customHeight="false" outlineLevel="0" collapsed="false">
      <c r="A177" s="2" t="n">
        <v>176</v>
      </c>
      <c r="B177" s="2" t="n">
        <v>39</v>
      </c>
      <c r="C177" s="2" t="n">
        <v>24919</v>
      </c>
      <c r="D177" s="2" t="n">
        <v>630</v>
      </c>
      <c r="E177" s="2" t="n">
        <v>2382867</v>
      </c>
      <c r="F177" s="2" t="n">
        <v>6767</v>
      </c>
      <c r="G177" s="2" t="s">
        <v>8</v>
      </c>
    </row>
    <row r="178" customFormat="false" ht="15" hidden="false" customHeight="false" outlineLevel="0" collapsed="false">
      <c r="A178" s="2" t="n">
        <v>177</v>
      </c>
      <c r="B178" s="2" t="n">
        <v>48</v>
      </c>
      <c r="C178" s="2" t="n">
        <v>92344</v>
      </c>
      <c r="D178" s="2" t="n">
        <v>824</v>
      </c>
      <c r="E178" s="2" t="n">
        <v>1117128</v>
      </c>
      <c r="F178" s="2" t="n">
        <v>2857</v>
      </c>
      <c r="G178" s="2" t="s">
        <v>7</v>
      </c>
    </row>
    <row r="179" customFormat="false" ht="15" hidden="false" customHeight="false" outlineLevel="0" collapsed="false">
      <c r="A179" s="2" t="n">
        <v>178</v>
      </c>
      <c r="B179" s="2" t="n">
        <v>27</v>
      </c>
      <c r="C179" s="2" t="n">
        <v>93412</v>
      </c>
      <c r="D179" s="2" t="n">
        <v>683</v>
      </c>
      <c r="E179" s="2" t="n">
        <v>384348</v>
      </c>
      <c r="F179" s="2" t="n">
        <v>17173</v>
      </c>
      <c r="G179" s="2" t="s">
        <v>7</v>
      </c>
    </row>
    <row r="180" customFormat="false" ht="15" hidden="false" customHeight="false" outlineLevel="0" collapsed="false">
      <c r="A180" s="2" t="n">
        <v>179</v>
      </c>
      <c r="B180" s="2" t="n">
        <v>56</v>
      </c>
      <c r="C180" s="2" t="n">
        <v>54899</v>
      </c>
      <c r="D180" s="2" t="n">
        <v>812</v>
      </c>
      <c r="E180" s="2" t="n">
        <v>750321</v>
      </c>
      <c r="F180" s="2" t="n">
        <v>10526</v>
      </c>
      <c r="G180" s="2" t="s">
        <v>7</v>
      </c>
    </row>
    <row r="181" customFormat="false" ht="15" hidden="false" customHeight="false" outlineLevel="0" collapsed="false">
      <c r="A181" s="2" t="n">
        <v>180</v>
      </c>
      <c r="B181" s="2" t="n">
        <v>40</v>
      </c>
      <c r="C181" s="2" t="n">
        <v>42558</v>
      </c>
      <c r="D181" s="2" t="n">
        <v>535</v>
      </c>
      <c r="E181" s="2" t="n">
        <v>2141280</v>
      </c>
      <c r="F181" s="2" t="n">
        <v>16973</v>
      </c>
      <c r="G181" s="2" t="s">
        <v>8</v>
      </c>
    </row>
    <row r="182" customFormat="false" ht="15" hidden="false" customHeight="false" outlineLevel="0" collapsed="false">
      <c r="A182" s="2" t="n">
        <v>181</v>
      </c>
      <c r="B182" s="2" t="n">
        <v>57</v>
      </c>
      <c r="C182" s="2" t="n">
        <v>15557</v>
      </c>
      <c r="D182" s="2" t="n">
        <v>532</v>
      </c>
      <c r="E182" s="2" t="n">
        <v>2207043</v>
      </c>
      <c r="F182" s="2" t="n">
        <v>17691</v>
      </c>
      <c r="G182" s="2" t="s">
        <v>8</v>
      </c>
    </row>
    <row r="183" customFormat="false" ht="15" hidden="false" customHeight="false" outlineLevel="0" collapsed="false">
      <c r="A183" s="2" t="n">
        <v>182</v>
      </c>
      <c r="B183" s="2" t="n">
        <v>26</v>
      </c>
      <c r="C183" s="2" t="n">
        <v>113365</v>
      </c>
      <c r="D183" s="2" t="n">
        <v>791</v>
      </c>
      <c r="E183" s="2" t="n">
        <v>1628977</v>
      </c>
      <c r="F183" s="2" t="n">
        <v>21060</v>
      </c>
      <c r="G183" s="2" t="s">
        <v>7</v>
      </c>
    </row>
    <row r="184" customFormat="false" ht="15" hidden="false" customHeight="false" outlineLevel="0" collapsed="false">
      <c r="A184" s="2" t="n">
        <v>183</v>
      </c>
      <c r="B184" s="2" t="n">
        <v>40</v>
      </c>
      <c r="C184" s="2" t="n">
        <v>114511</v>
      </c>
      <c r="D184" s="2" t="n">
        <v>537</v>
      </c>
      <c r="E184" s="2" t="n">
        <v>394577</v>
      </c>
      <c r="F184" s="2" t="n">
        <v>16411</v>
      </c>
      <c r="G184" s="2" t="s">
        <v>7</v>
      </c>
    </row>
    <row r="185" customFormat="false" ht="15" hidden="false" customHeight="false" outlineLevel="0" collapsed="false">
      <c r="A185" s="2" t="n">
        <v>184</v>
      </c>
      <c r="B185" s="2" t="n">
        <v>48</v>
      </c>
      <c r="C185" s="2" t="n">
        <v>40301</v>
      </c>
      <c r="D185" s="2" t="n">
        <v>518</v>
      </c>
      <c r="E185" s="2" t="n">
        <v>392612</v>
      </c>
      <c r="F185" s="2" t="n">
        <v>19438</v>
      </c>
      <c r="G185" s="2" t="s">
        <v>8</v>
      </c>
    </row>
    <row r="186" customFormat="false" ht="15" hidden="false" customHeight="false" outlineLevel="0" collapsed="false">
      <c r="A186" s="2" t="n">
        <v>185</v>
      </c>
      <c r="B186" s="2" t="n">
        <v>40</v>
      </c>
      <c r="C186" s="2" t="n">
        <v>18350</v>
      </c>
      <c r="D186" s="2" t="n">
        <v>641</v>
      </c>
      <c r="E186" s="2" t="n">
        <v>1247613</v>
      </c>
      <c r="F186" s="2" t="n">
        <v>17614</v>
      </c>
      <c r="G186" s="2" t="s">
        <v>8</v>
      </c>
    </row>
    <row r="187" customFormat="false" ht="15" hidden="false" customHeight="false" outlineLevel="0" collapsed="false">
      <c r="A187" s="2" t="n">
        <v>186</v>
      </c>
      <c r="B187" s="2" t="n">
        <v>38</v>
      </c>
      <c r="C187" s="2" t="n">
        <v>27889</v>
      </c>
      <c r="D187" s="2" t="n">
        <v>823</v>
      </c>
      <c r="E187" s="2" t="n">
        <v>1511819</v>
      </c>
      <c r="F187" s="2" t="n">
        <v>19572</v>
      </c>
      <c r="G187" s="2" t="s">
        <v>7</v>
      </c>
    </row>
    <row r="188" customFormat="false" ht="15" hidden="false" customHeight="false" outlineLevel="0" collapsed="false">
      <c r="A188" s="2" t="n">
        <v>187</v>
      </c>
      <c r="B188" s="2" t="n">
        <v>27</v>
      </c>
      <c r="C188" s="2" t="n">
        <v>22102</v>
      </c>
      <c r="D188" s="2" t="n">
        <v>741</v>
      </c>
      <c r="E188" s="2" t="n">
        <v>177708</v>
      </c>
      <c r="F188" s="2" t="n">
        <v>18499</v>
      </c>
      <c r="G188" s="2" t="s">
        <v>7</v>
      </c>
    </row>
    <row r="189" customFormat="false" ht="15" hidden="false" customHeight="false" outlineLevel="0" collapsed="false">
      <c r="A189" s="2" t="n">
        <v>188</v>
      </c>
      <c r="B189" s="2" t="n">
        <v>35</v>
      </c>
      <c r="C189" s="2" t="n">
        <v>102266</v>
      </c>
      <c r="D189" s="2" t="n">
        <v>534</v>
      </c>
      <c r="E189" s="2" t="n">
        <v>1746631</v>
      </c>
      <c r="F189" s="2" t="n">
        <v>9486</v>
      </c>
      <c r="G189" s="2" t="s">
        <v>7</v>
      </c>
    </row>
    <row r="190" customFormat="false" ht="15" hidden="false" customHeight="false" outlineLevel="0" collapsed="false">
      <c r="A190" s="2" t="n">
        <v>189</v>
      </c>
      <c r="B190" s="2" t="n">
        <v>30</v>
      </c>
      <c r="C190" s="2" t="n">
        <v>108650</v>
      </c>
      <c r="D190" s="2" t="n">
        <v>792</v>
      </c>
      <c r="E190" s="2" t="n">
        <v>1406824</v>
      </c>
      <c r="F190" s="2" t="n">
        <v>7388</v>
      </c>
      <c r="G190" s="2" t="s">
        <v>7</v>
      </c>
    </row>
    <row r="191" customFormat="false" ht="15" hidden="false" customHeight="false" outlineLevel="0" collapsed="false">
      <c r="A191" s="2" t="n">
        <v>190</v>
      </c>
      <c r="B191" s="2" t="n">
        <v>32</v>
      </c>
      <c r="C191" s="2" t="n">
        <v>31094</v>
      </c>
      <c r="D191" s="2" t="n">
        <v>795</v>
      </c>
      <c r="E191" s="2" t="n">
        <v>129526</v>
      </c>
      <c r="F191" s="2" t="n">
        <v>23622</v>
      </c>
      <c r="G191" s="2" t="s">
        <v>7</v>
      </c>
    </row>
    <row r="192" customFormat="false" ht="15" hidden="false" customHeight="false" outlineLevel="0" collapsed="false">
      <c r="A192" s="2" t="n">
        <v>191</v>
      </c>
      <c r="B192" s="2" t="n">
        <v>47</v>
      </c>
      <c r="C192" s="2" t="n">
        <v>93407</v>
      </c>
      <c r="D192" s="2" t="n">
        <v>780</v>
      </c>
      <c r="E192" s="2" t="n">
        <v>329626</v>
      </c>
      <c r="F192" s="2" t="n">
        <v>10281</v>
      </c>
      <c r="G192" s="2" t="s">
        <v>7</v>
      </c>
    </row>
    <row r="193" customFormat="false" ht="15" hidden="false" customHeight="false" outlineLevel="0" collapsed="false">
      <c r="A193" s="2" t="n">
        <v>192</v>
      </c>
      <c r="B193" s="2" t="n">
        <v>45</v>
      </c>
      <c r="C193" s="2" t="n">
        <v>33823</v>
      </c>
      <c r="D193" s="2" t="n">
        <v>815</v>
      </c>
      <c r="E193" s="2" t="n">
        <v>1190363</v>
      </c>
      <c r="F193" s="2" t="n">
        <v>16474</v>
      </c>
      <c r="G193" s="2" t="s">
        <v>7</v>
      </c>
    </row>
    <row r="194" customFormat="false" ht="15" hidden="false" customHeight="false" outlineLevel="0" collapsed="false">
      <c r="A194" s="2" t="n">
        <v>193</v>
      </c>
      <c r="B194" s="2" t="n">
        <v>44</v>
      </c>
      <c r="C194" s="2" t="n">
        <v>53556</v>
      </c>
      <c r="D194" s="2" t="n">
        <v>583</v>
      </c>
      <c r="E194" s="2" t="n">
        <v>1834205</v>
      </c>
      <c r="F194" s="2" t="n">
        <v>5909</v>
      </c>
      <c r="G194" s="2" t="s">
        <v>8</v>
      </c>
    </row>
    <row r="195" customFormat="false" ht="15" hidden="false" customHeight="false" outlineLevel="0" collapsed="false">
      <c r="A195" s="2" t="n">
        <v>194</v>
      </c>
      <c r="B195" s="2" t="n">
        <v>35</v>
      </c>
      <c r="C195" s="2" t="n">
        <v>77935</v>
      </c>
      <c r="D195" s="2" t="n">
        <v>842</v>
      </c>
      <c r="E195" s="2" t="n">
        <v>2080958</v>
      </c>
      <c r="F195" s="2" t="n">
        <v>12942</v>
      </c>
      <c r="G195" s="2" t="s">
        <v>7</v>
      </c>
    </row>
    <row r="196" customFormat="false" ht="15" hidden="false" customHeight="false" outlineLevel="0" collapsed="false">
      <c r="A196" s="2" t="n">
        <v>195</v>
      </c>
      <c r="B196" s="2" t="n">
        <v>58</v>
      </c>
      <c r="C196" s="2" t="n">
        <v>90592</v>
      </c>
      <c r="D196" s="2" t="n">
        <v>612</v>
      </c>
      <c r="E196" s="2" t="n">
        <v>1135123</v>
      </c>
      <c r="F196" s="2" t="n">
        <v>15889</v>
      </c>
      <c r="G196" s="2" t="s">
        <v>7</v>
      </c>
    </row>
    <row r="197" customFormat="false" ht="15" hidden="false" customHeight="false" outlineLevel="0" collapsed="false">
      <c r="A197" s="2" t="n">
        <v>196</v>
      </c>
      <c r="B197" s="2" t="n">
        <v>24</v>
      </c>
      <c r="C197" s="2" t="n">
        <v>106829</v>
      </c>
      <c r="D197" s="2" t="n">
        <v>780</v>
      </c>
      <c r="E197" s="2" t="n">
        <v>808861</v>
      </c>
      <c r="F197" s="2" t="n">
        <v>18780</v>
      </c>
      <c r="G197" s="2" t="s">
        <v>7</v>
      </c>
    </row>
    <row r="198" customFormat="false" ht="15" hidden="false" customHeight="false" outlineLevel="0" collapsed="false">
      <c r="A198" s="2" t="n">
        <v>197</v>
      </c>
      <c r="B198" s="2" t="n">
        <v>34</v>
      </c>
      <c r="C198" s="2" t="n">
        <v>19702</v>
      </c>
      <c r="D198" s="2" t="n">
        <v>702</v>
      </c>
      <c r="E198" s="2" t="n">
        <v>2423944</v>
      </c>
      <c r="F198" s="2" t="n">
        <v>15791</v>
      </c>
      <c r="G198" s="2" t="s">
        <v>8</v>
      </c>
    </row>
    <row r="199" customFormat="false" ht="15" hidden="false" customHeight="false" outlineLevel="0" collapsed="false">
      <c r="A199" s="2" t="n">
        <v>198</v>
      </c>
      <c r="B199" s="2" t="n">
        <v>25</v>
      </c>
      <c r="C199" s="2" t="n">
        <v>35625</v>
      </c>
      <c r="D199" s="2" t="n">
        <v>772</v>
      </c>
      <c r="E199" s="2" t="n">
        <v>1200515</v>
      </c>
      <c r="F199" s="2" t="n">
        <v>10819</v>
      </c>
      <c r="G199" s="2" t="s">
        <v>7</v>
      </c>
    </row>
    <row r="200" customFormat="false" ht="15" hidden="false" customHeight="false" outlineLevel="0" collapsed="false">
      <c r="A200" s="2" t="n">
        <v>199</v>
      </c>
      <c r="B200" s="2" t="n">
        <v>34</v>
      </c>
      <c r="C200" s="2" t="n">
        <v>44453</v>
      </c>
      <c r="D200" s="2" t="n">
        <v>719</v>
      </c>
      <c r="E200" s="2" t="n">
        <v>856935</v>
      </c>
      <c r="F200" s="2" t="n">
        <v>28853</v>
      </c>
      <c r="G200" s="2" t="s">
        <v>7</v>
      </c>
    </row>
    <row r="201" customFormat="false" ht="15" hidden="false" customHeight="false" outlineLevel="0" collapsed="false">
      <c r="A201" s="2" t="n">
        <v>200</v>
      </c>
      <c r="B201" s="2" t="n">
        <v>58</v>
      </c>
      <c r="C201" s="2" t="n">
        <v>47583</v>
      </c>
      <c r="D201" s="2" t="n">
        <v>724</v>
      </c>
      <c r="E201" s="2" t="n">
        <v>1161553</v>
      </c>
      <c r="F201" s="2" t="n">
        <v>15382</v>
      </c>
      <c r="G201" s="2" t="s">
        <v>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9" min="1" style="0" width="2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9</v>
      </c>
      <c r="H1" s="1" t="s">
        <v>10</v>
      </c>
      <c r="I1" s="1" t="s">
        <v>11</v>
      </c>
    </row>
    <row r="2" customFormat="false" ht="15" hidden="false" customHeight="false" outlineLevel="0" collapsed="false">
      <c r="A2" s="2" t="n">
        <v>1001</v>
      </c>
      <c r="B2" s="2" t="n">
        <f aca="false">INDEX(New_Applicants!B:B,MATCH($A2,New_Applicants!$A:$A,0))</f>
        <v>54</v>
      </c>
      <c r="C2" s="2" t="n">
        <f aca="false">INDEX(New_Applicants!C:C,MATCH($A2,New_Applicants!$A:$A,0))</f>
        <v>48489</v>
      </c>
      <c r="D2" s="2" t="n">
        <f aca="false">INDEX(New_Applicants!D:D,MATCH($A2,New_Applicants!$A:$A,0))</f>
        <v>592</v>
      </c>
      <c r="E2" s="2" t="n">
        <f aca="false">INDEX(New_Applicants!E:E,MATCH($A2,New_Applicants!$A:$A,0))</f>
        <v>653320</v>
      </c>
      <c r="F2" s="2" t="n">
        <f aca="false">INDEX(New_Applicants!F:F,MATCH($A2,New_Applicants!$A:$A,0))</f>
        <v>14016</v>
      </c>
      <c r="G2" s="2" t="str">
        <f aca="false">IF(AND(D2&gt;=650,(C2-F2)&gt;=30000,E2&lt;=4*12*C2),"Yes","No")</f>
        <v>No</v>
      </c>
      <c r="H2" s="2" t="str">
        <f aca="false">IF(C2&lt;=54566.5,IF(D2&lt;=673,IF(C2&lt;=46335.5,"No",IF(C2&lt;=48159.5,"Yes","No")),IF(C2&lt;=27685,IF(D2&lt;=815,"No","Yes"),IF(B2&lt;=53,"Yes","No"))),IF(D2&lt;=579.5,IF(C2&lt;=99726.5,IF(B2&lt;=24.5,"Yes","No"),"Yes"),IF(E2&lt;=2340998,"Yes",IF(E2&lt;=2361982,"No","Yes"))))</f>
        <v>No</v>
      </c>
      <c r="I2" s="3" t="b">
        <f aca="false">G2=H2</f>
        <v>1</v>
      </c>
    </row>
    <row r="3" customFormat="false" ht="15" hidden="false" customHeight="false" outlineLevel="0" collapsed="false">
      <c r="A3" s="2" t="n">
        <v>1002</v>
      </c>
      <c r="B3" s="2" t="n">
        <f aca="false">INDEX(New_Applicants!B:B,MATCH($A3,New_Applicants!$A:$A,0))</f>
        <v>39</v>
      </c>
      <c r="C3" s="2" t="n">
        <f aca="false">INDEX(New_Applicants!C:C,MATCH($A3,New_Applicants!$A:$A,0))</f>
        <v>115311</v>
      </c>
      <c r="D3" s="2" t="n">
        <f aca="false">INDEX(New_Applicants!D:D,MATCH($A3,New_Applicants!$A:$A,0))</f>
        <v>680</v>
      </c>
      <c r="E3" s="2" t="n">
        <f aca="false">INDEX(New_Applicants!E:E,MATCH($A3,New_Applicants!$A:$A,0))</f>
        <v>1099863</v>
      </c>
      <c r="F3" s="2" t="n">
        <f aca="false">INDEX(New_Applicants!F:F,MATCH($A3,New_Applicants!$A:$A,0))</f>
        <v>25236</v>
      </c>
      <c r="G3" s="2" t="str">
        <f aca="false">IF(AND(D3&gt;=650,(C3-F3)&gt;=30000,E3&lt;=4*12*C3),"Yes","No")</f>
        <v>Yes</v>
      </c>
      <c r="H3" s="2" t="str">
        <f aca="false">IF(C3&lt;=54566.5,IF(D3&lt;=673,IF(C3&lt;=46335.5,"No",IF(C3&lt;=48159.5,"Yes","No")),IF(C3&lt;=27685,IF(D3&lt;=815,"No","Yes"),IF(B3&lt;=53,"Yes","No"))),IF(D3&lt;=579.5,IF(C3&lt;=99726.5,IF(B3&lt;=24.5,"Yes","No"),"Yes"),IF(E3&lt;=2340998,"Yes",IF(E3&lt;=2361982,"No","Yes"))))</f>
        <v>Yes</v>
      </c>
      <c r="I3" s="3" t="b">
        <f aca="false">G3=H3</f>
        <v>1</v>
      </c>
    </row>
    <row r="4" customFormat="false" ht="15" hidden="false" customHeight="false" outlineLevel="0" collapsed="false">
      <c r="A4" s="2" t="n">
        <v>1003</v>
      </c>
      <c r="B4" s="2" t="n">
        <f aca="false">INDEX(New_Applicants!B:B,MATCH($A4,New_Applicants!$A:$A,0))</f>
        <v>58</v>
      </c>
      <c r="C4" s="2" t="n">
        <f aca="false">INDEX(New_Applicants!C:C,MATCH($A4,New_Applicants!$A:$A,0))</f>
        <v>96852</v>
      </c>
      <c r="D4" s="2" t="n">
        <f aca="false">INDEX(New_Applicants!D:D,MATCH($A4,New_Applicants!$A:$A,0))</f>
        <v>776</v>
      </c>
      <c r="E4" s="2" t="n">
        <f aca="false">INDEX(New_Applicants!E:E,MATCH($A4,New_Applicants!$A:$A,0))</f>
        <v>463562</v>
      </c>
      <c r="F4" s="2" t="n">
        <f aca="false">INDEX(New_Applicants!F:F,MATCH($A4,New_Applicants!$A:$A,0))</f>
        <v>15892</v>
      </c>
      <c r="G4" s="2" t="str">
        <f aca="false">IF(AND(D4&gt;=650,(C4-F4)&gt;=30000,E4&lt;=4*12*C4),"Yes","No")</f>
        <v>Yes</v>
      </c>
      <c r="H4" s="2" t="str">
        <f aca="false">IF(C4&lt;=54566.5,IF(D4&lt;=673,IF(C4&lt;=46335.5,"No",IF(C4&lt;=48159.5,"Yes","No")),IF(C4&lt;=27685,IF(D4&lt;=815,"No","Yes"),IF(B4&lt;=53,"Yes","No"))),IF(D4&lt;=579.5,IF(C4&lt;=99726.5,IF(B4&lt;=24.5,"Yes","No"),"Yes"),IF(E4&lt;=2340998,"Yes",IF(E4&lt;=2361982,"No","Yes"))))</f>
        <v>Yes</v>
      </c>
      <c r="I4" s="3" t="b">
        <f aca="false">G4=H4</f>
        <v>1</v>
      </c>
    </row>
    <row r="5" customFormat="false" ht="15" hidden="false" customHeight="false" outlineLevel="0" collapsed="false">
      <c r="A5" s="2" t="n">
        <v>1004</v>
      </c>
      <c r="B5" s="2" t="n">
        <f aca="false">INDEX(New_Applicants!B:B,MATCH($A5,New_Applicants!$A:$A,0))</f>
        <v>59</v>
      </c>
      <c r="C5" s="2" t="n">
        <f aca="false">INDEX(New_Applicants!C:C,MATCH($A5,New_Applicants!$A:$A,0))</f>
        <v>68836</v>
      </c>
      <c r="D5" s="2" t="n">
        <f aca="false">INDEX(New_Applicants!D:D,MATCH($A5,New_Applicants!$A:$A,0))</f>
        <v>609</v>
      </c>
      <c r="E5" s="2" t="n">
        <f aca="false">INDEX(New_Applicants!E:E,MATCH($A5,New_Applicants!$A:$A,0))</f>
        <v>103985</v>
      </c>
      <c r="F5" s="2" t="n">
        <f aca="false">INDEX(New_Applicants!F:F,MATCH($A5,New_Applicants!$A:$A,0))</f>
        <v>7810</v>
      </c>
      <c r="G5" s="2" t="str">
        <f aca="false">IF(AND(D5&gt;=650,(C5-F5)&gt;=30000,E5&lt;=4*12*C5),"Yes","No")</f>
        <v>No</v>
      </c>
      <c r="H5" s="2" t="str">
        <f aca="false">IF(C5&lt;=54566.5,IF(D5&lt;=673,IF(C5&lt;=46335.5,"No",IF(C5&lt;=48159.5,"Yes","No")),IF(C5&lt;=27685,IF(D5&lt;=815,"No","Yes"),IF(B5&lt;=53,"Yes","No"))),IF(D5&lt;=579.5,IF(C5&lt;=99726.5,IF(B5&lt;=24.5,"Yes","No"),"Yes"),IF(E5&lt;=2340998,"Yes",IF(E5&lt;=2361982,"No","Yes"))))</f>
        <v>Yes</v>
      </c>
      <c r="I5" s="3" t="b">
        <f aca="false">G5=H5</f>
        <v>0</v>
      </c>
    </row>
    <row r="6" customFormat="false" ht="15" hidden="false" customHeight="false" outlineLevel="0" collapsed="false">
      <c r="A6" s="2" t="n">
        <v>1005</v>
      </c>
      <c r="B6" s="2" t="n">
        <f aca="false">INDEX(New_Applicants!B:B,MATCH($A6,New_Applicants!$A:$A,0))</f>
        <v>43</v>
      </c>
      <c r="C6" s="2" t="n">
        <f aca="false">INDEX(New_Applicants!C:C,MATCH($A6,New_Applicants!$A:$A,0))</f>
        <v>113138</v>
      </c>
      <c r="D6" s="2" t="n">
        <f aca="false">INDEX(New_Applicants!D:D,MATCH($A6,New_Applicants!$A:$A,0))</f>
        <v>516</v>
      </c>
      <c r="E6" s="2" t="n">
        <f aca="false">INDEX(New_Applicants!E:E,MATCH($A6,New_Applicants!$A:$A,0))</f>
        <v>795983</v>
      </c>
      <c r="F6" s="2" t="n">
        <f aca="false">INDEX(New_Applicants!F:F,MATCH($A6,New_Applicants!$A:$A,0))</f>
        <v>6870</v>
      </c>
      <c r="G6" s="2" t="str">
        <f aca="false">IF(AND(D6&gt;=650,(C6-F6)&gt;=30000,E6&lt;=4*12*C6),"Yes","No")</f>
        <v>No</v>
      </c>
      <c r="H6" s="2" t="str">
        <f aca="false">IF(C6&lt;=54566.5,IF(D6&lt;=673,IF(C6&lt;=46335.5,"No",IF(C6&lt;=48159.5,"Yes","No")),IF(C6&lt;=27685,IF(D6&lt;=815,"No","Yes"),IF(B6&lt;=53,"Yes","No"))),IF(D6&lt;=579.5,IF(C6&lt;=99726.5,IF(B6&lt;=24.5,"Yes","No"),"Yes"),IF(E6&lt;=2340998,"Yes",IF(E6&lt;=2361982,"No","Yes"))))</f>
        <v>Yes</v>
      </c>
      <c r="I6" s="3" t="b">
        <f aca="false">G6=H6</f>
        <v>0</v>
      </c>
    </row>
    <row r="7" customFormat="false" ht="15" hidden="false" customHeight="false" outlineLevel="0" collapsed="false">
      <c r="A7" s="2" t="n">
        <v>1006</v>
      </c>
      <c r="B7" s="2" t="n">
        <f aca="false">INDEX(New_Applicants!B:B,MATCH($A7,New_Applicants!$A:$A,0))</f>
        <v>47</v>
      </c>
      <c r="C7" s="2" t="n">
        <f aca="false">INDEX(New_Applicants!C:C,MATCH($A7,New_Applicants!$A:$A,0))</f>
        <v>60462</v>
      </c>
      <c r="D7" s="2" t="n">
        <f aca="false">INDEX(New_Applicants!D:D,MATCH($A7,New_Applicants!$A:$A,0))</f>
        <v>517</v>
      </c>
      <c r="E7" s="2" t="n">
        <f aca="false">INDEX(New_Applicants!E:E,MATCH($A7,New_Applicants!$A:$A,0))</f>
        <v>368968</v>
      </c>
      <c r="F7" s="2" t="n">
        <f aca="false">INDEX(New_Applicants!F:F,MATCH($A7,New_Applicants!$A:$A,0))</f>
        <v>9674</v>
      </c>
      <c r="G7" s="2" t="str">
        <f aca="false">IF(AND(D7&gt;=650,(C7-F7)&gt;=30000,E7&lt;=4*12*C7),"Yes","No")</f>
        <v>No</v>
      </c>
      <c r="H7" s="2" t="str">
        <f aca="false">IF(C7&lt;=54566.5,IF(D7&lt;=673,IF(C7&lt;=46335.5,"No",IF(C7&lt;=48159.5,"Yes","No")),IF(C7&lt;=27685,IF(D7&lt;=815,"No","Yes"),IF(B7&lt;=53,"Yes","No"))),IF(D7&lt;=579.5,IF(C7&lt;=99726.5,IF(B7&lt;=24.5,"Yes","No"),"Yes"),IF(E7&lt;=2340998,"Yes",IF(E7&lt;=2361982,"No","Yes"))))</f>
        <v>No</v>
      </c>
      <c r="I7" s="3" t="b">
        <f aca="false">G7=H7</f>
        <v>1</v>
      </c>
    </row>
    <row r="8" customFormat="false" ht="15" hidden="false" customHeight="false" outlineLevel="0" collapsed="false">
      <c r="A8" s="2" t="n">
        <v>1007</v>
      </c>
      <c r="B8" s="2" t="n">
        <f aca="false">INDEX(New_Applicants!B:B,MATCH($A8,New_Applicants!$A:$A,0))</f>
        <v>30</v>
      </c>
      <c r="C8" s="2" t="n">
        <f aca="false">INDEX(New_Applicants!C:C,MATCH($A8,New_Applicants!$A:$A,0))</f>
        <v>29665</v>
      </c>
      <c r="D8" s="2" t="n">
        <f aca="false">INDEX(New_Applicants!D:D,MATCH($A8,New_Applicants!$A:$A,0))</f>
        <v>798</v>
      </c>
      <c r="E8" s="2" t="n">
        <f aca="false">INDEX(New_Applicants!E:E,MATCH($A8,New_Applicants!$A:$A,0))</f>
        <v>1095469</v>
      </c>
      <c r="F8" s="2" t="n">
        <f aca="false">INDEX(New_Applicants!F:F,MATCH($A8,New_Applicants!$A:$A,0))</f>
        <v>17923</v>
      </c>
      <c r="G8" s="2" t="str">
        <f aca="false">IF(AND(D8&gt;=650,(C8-F8)&gt;=30000,E8&lt;=4*12*C8),"Yes","No")</f>
        <v>No</v>
      </c>
      <c r="H8" s="2" t="str">
        <f aca="false">IF(C8&lt;=54566.5,IF(D8&lt;=673,IF(C8&lt;=46335.5,"No",IF(C8&lt;=48159.5,"Yes","No")),IF(C8&lt;=27685,IF(D8&lt;=815,"No","Yes"),IF(B8&lt;=53,"Yes","No"))),IF(D8&lt;=579.5,IF(C8&lt;=99726.5,IF(B8&lt;=24.5,"Yes","No"),"Yes"),IF(E8&lt;=2340998,"Yes",IF(E8&lt;=2361982,"No","Yes"))))</f>
        <v>Yes</v>
      </c>
      <c r="I8" s="3" t="b">
        <f aca="false">G8=H8</f>
        <v>0</v>
      </c>
    </row>
    <row r="9" customFormat="false" ht="15" hidden="false" customHeight="false" outlineLevel="0" collapsed="false">
      <c r="A9" s="2" t="n">
        <v>1008</v>
      </c>
      <c r="B9" s="2" t="n">
        <f aca="false">INDEX(New_Applicants!B:B,MATCH($A9,New_Applicants!$A:$A,0))</f>
        <v>52</v>
      </c>
      <c r="C9" s="2" t="n">
        <f aca="false">INDEX(New_Applicants!C:C,MATCH($A9,New_Applicants!$A:$A,0))</f>
        <v>18763</v>
      </c>
      <c r="D9" s="2" t="n">
        <f aca="false">INDEX(New_Applicants!D:D,MATCH($A9,New_Applicants!$A:$A,0))</f>
        <v>539</v>
      </c>
      <c r="E9" s="2" t="n">
        <f aca="false">INDEX(New_Applicants!E:E,MATCH($A9,New_Applicants!$A:$A,0))</f>
        <v>2170634</v>
      </c>
      <c r="F9" s="2" t="n">
        <f aca="false">INDEX(New_Applicants!F:F,MATCH($A9,New_Applicants!$A:$A,0))</f>
        <v>7274</v>
      </c>
      <c r="G9" s="2" t="str">
        <f aca="false">IF(AND(D9&gt;=650,(C9-F9)&gt;=30000,E9&lt;=4*12*C9),"Yes","No")</f>
        <v>No</v>
      </c>
      <c r="H9" s="2" t="str">
        <f aca="false">IF(C9&lt;=54566.5,IF(D9&lt;=673,IF(C9&lt;=46335.5,"No",IF(C9&lt;=48159.5,"Yes","No")),IF(C9&lt;=27685,IF(D9&lt;=815,"No","Yes"),IF(B9&lt;=53,"Yes","No"))),IF(D9&lt;=579.5,IF(C9&lt;=99726.5,IF(B9&lt;=24.5,"Yes","No"),"Yes"),IF(E9&lt;=2340998,"Yes",IF(E9&lt;=2361982,"No","Yes"))))</f>
        <v>No</v>
      </c>
      <c r="I9" s="3" t="b">
        <f aca="false">G9=H9</f>
        <v>1</v>
      </c>
    </row>
    <row r="10" customFormat="false" ht="15" hidden="false" customHeight="false" outlineLevel="0" collapsed="false">
      <c r="A10" s="2" t="n">
        <v>1009</v>
      </c>
      <c r="B10" s="2" t="n">
        <f aca="false">INDEX(New_Applicants!B:B,MATCH($A10,New_Applicants!$A:$A,0))</f>
        <v>47</v>
      </c>
      <c r="C10" s="2" t="n">
        <f aca="false">INDEX(New_Applicants!C:C,MATCH($A10,New_Applicants!$A:$A,0))</f>
        <v>113492</v>
      </c>
      <c r="D10" s="2" t="n">
        <f aca="false">INDEX(New_Applicants!D:D,MATCH($A10,New_Applicants!$A:$A,0))</f>
        <v>722</v>
      </c>
      <c r="E10" s="2" t="n">
        <f aca="false">INDEX(New_Applicants!E:E,MATCH($A10,New_Applicants!$A:$A,0))</f>
        <v>490166</v>
      </c>
      <c r="F10" s="2" t="n">
        <f aca="false">INDEX(New_Applicants!F:F,MATCH($A10,New_Applicants!$A:$A,0))</f>
        <v>27425</v>
      </c>
      <c r="G10" s="2" t="str">
        <f aca="false">IF(AND(D10&gt;=650,(C10-F10)&gt;=30000,E10&lt;=4*12*C10),"Yes","No")</f>
        <v>Yes</v>
      </c>
      <c r="H10" s="2" t="str">
        <f aca="false">IF(C10&lt;=54566.5,IF(D10&lt;=673,IF(C10&lt;=46335.5,"No",IF(C10&lt;=48159.5,"Yes","No")),IF(C10&lt;=27685,IF(D10&lt;=815,"No","Yes"),IF(B10&lt;=53,"Yes","No"))),IF(D10&lt;=579.5,IF(C10&lt;=99726.5,IF(B10&lt;=24.5,"Yes","No"),"Yes"),IF(E10&lt;=2340998,"Yes",IF(E10&lt;=2361982,"No","Yes"))))</f>
        <v>Yes</v>
      </c>
      <c r="I10" s="3" t="b">
        <f aca="false">G10=H10</f>
        <v>1</v>
      </c>
    </row>
    <row r="11" customFormat="false" ht="15" hidden="false" customHeight="false" outlineLevel="0" collapsed="false">
      <c r="A11" s="2" t="n">
        <v>1010</v>
      </c>
      <c r="B11" s="2" t="n">
        <f aca="false">INDEX(New_Applicants!B:B,MATCH($A11,New_Applicants!$A:$A,0))</f>
        <v>56</v>
      </c>
      <c r="C11" s="2" t="n">
        <f aca="false">INDEX(New_Applicants!C:C,MATCH($A11,New_Applicants!$A:$A,0))</f>
        <v>115776</v>
      </c>
      <c r="D11" s="2" t="n">
        <f aca="false">INDEX(New_Applicants!D:D,MATCH($A11,New_Applicants!$A:$A,0))</f>
        <v>634</v>
      </c>
      <c r="E11" s="2" t="n">
        <f aca="false">INDEX(New_Applicants!E:E,MATCH($A11,New_Applicants!$A:$A,0))</f>
        <v>102959</v>
      </c>
      <c r="F11" s="2" t="n">
        <f aca="false">INDEX(New_Applicants!F:F,MATCH($A11,New_Applicants!$A:$A,0))</f>
        <v>14395</v>
      </c>
      <c r="G11" s="2" t="str">
        <f aca="false">IF(AND(D11&gt;=650,(C11-F11)&gt;=30000,E11&lt;=4*12*C11),"Yes","No")</f>
        <v>No</v>
      </c>
      <c r="H11" s="2" t="str">
        <f aca="false">IF(C11&lt;=54566.5,IF(D11&lt;=673,IF(C11&lt;=46335.5,"No",IF(C11&lt;=48159.5,"Yes","No")),IF(C11&lt;=27685,IF(D11&lt;=815,"No","Yes"),IF(B11&lt;=53,"Yes","No"))),IF(D11&lt;=579.5,IF(C11&lt;=99726.5,IF(B11&lt;=24.5,"Yes","No"),"Yes"),IF(E11&lt;=2340998,"Yes",IF(E11&lt;=2361982,"No","Yes"))))</f>
        <v>Yes</v>
      </c>
      <c r="I11" s="3" t="b">
        <f aca="false">G11=H11</f>
        <v>0</v>
      </c>
    </row>
    <row r="12" customFormat="false" ht="15" hidden="false" customHeight="false" outlineLevel="0" collapsed="false">
      <c r="A12" s="2" t="n">
        <v>1011</v>
      </c>
      <c r="B12" s="2" t="n">
        <f aca="false">INDEX(New_Applicants!B:B,MATCH($A12,New_Applicants!$A:$A,0))</f>
        <v>31</v>
      </c>
      <c r="C12" s="2" t="n">
        <f aca="false">INDEX(New_Applicants!C:C,MATCH($A12,New_Applicants!$A:$A,0))</f>
        <v>92621</v>
      </c>
      <c r="D12" s="2" t="n">
        <f aca="false">INDEX(New_Applicants!D:D,MATCH($A12,New_Applicants!$A:$A,0))</f>
        <v>772</v>
      </c>
      <c r="E12" s="2" t="n">
        <f aca="false">INDEX(New_Applicants!E:E,MATCH($A12,New_Applicants!$A:$A,0))</f>
        <v>366625</v>
      </c>
      <c r="F12" s="2" t="n">
        <f aca="false">INDEX(New_Applicants!F:F,MATCH($A12,New_Applicants!$A:$A,0))</f>
        <v>25898</v>
      </c>
      <c r="G12" s="2" t="str">
        <f aca="false">IF(AND(D12&gt;=650,(C12-F12)&gt;=30000,E12&lt;=4*12*C12),"Yes","No")</f>
        <v>Yes</v>
      </c>
      <c r="H12" s="2" t="str">
        <f aca="false">IF(C12&lt;=54566.5,IF(D12&lt;=673,IF(C12&lt;=46335.5,"No",IF(C12&lt;=48159.5,"Yes","No")),IF(C12&lt;=27685,IF(D12&lt;=815,"No","Yes"),IF(B12&lt;=53,"Yes","No"))),IF(D12&lt;=579.5,IF(C12&lt;=99726.5,IF(B12&lt;=24.5,"Yes","No"),"Yes"),IF(E12&lt;=2340998,"Yes",IF(E12&lt;=2361982,"No","Yes"))))</f>
        <v>Yes</v>
      </c>
      <c r="I12" s="3" t="b">
        <f aca="false">G12=H12</f>
        <v>1</v>
      </c>
    </row>
    <row r="13" customFormat="false" ht="15" hidden="false" customHeight="false" outlineLevel="0" collapsed="false">
      <c r="A13" s="2" t="n">
        <v>1012</v>
      </c>
      <c r="B13" s="2" t="n">
        <f aca="false">INDEX(New_Applicants!B:B,MATCH($A13,New_Applicants!$A:$A,0))</f>
        <v>51</v>
      </c>
      <c r="C13" s="2" t="n">
        <f aca="false">INDEX(New_Applicants!C:C,MATCH($A13,New_Applicants!$A:$A,0))</f>
        <v>25815</v>
      </c>
      <c r="D13" s="2" t="n">
        <f aca="false">INDEX(New_Applicants!D:D,MATCH($A13,New_Applicants!$A:$A,0))</f>
        <v>521</v>
      </c>
      <c r="E13" s="2" t="n">
        <f aca="false">INDEX(New_Applicants!E:E,MATCH($A13,New_Applicants!$A:$A,0))</f>
        <v>1319601</v>
      </c>
      <c r="F13" s="2" t="n">
        <f aca="false">INDEX(New_Applicants!F:F,MATCH($A13,New_Applicants!$A:$A,0))</f>
        <v>20497</v>
      </c>
      <c r="G13" s="2" t="str">
        <f aca="false">IF(AND(D13&gt;=650,(C13-F13)&gt;=30000,E13&lt;=4*12*C13),"Yes","No")</f>
        <v>No</v>
      </c>
      <c r="H13" s="2" t="str">
        <f aca="false">IF(C13&lt;=54566.5,IF(D13&lt;=673,IF(C13&lt;=46335.5,"No",IF(C13&lt;=48159.5,"Yes","No")),IF(C13&lt;=27685,IF(D13&lt;=815,"No","Yes"),IF(B13&lt;=53,"Yes","No"))),IF(D13&lt;=579.5,IF(C13&lt;=99726.5,IF(B13&lt;=24.5,"Yes","No"),"Yes"),IF(E13&lt;=2340998,"Yes",IF(E13&lt;=2361982,"No","Yes"))))</f>
        <v>No</v>
      </c>
      <c r="I13" s="3" t="b">
        <f aca="false">G13=H13</f>
        <v>1</v>
      </c>
    </row>
    <row r="14" customFormat="false" ht="15" hidden="false" customHeight="false" outlineLevel="0" collapsed="false">
      <c r="A14" s="2" t="n">
        <v>1013</v>
      </c>
      <c r="B14" s="2" t="n">
        <f aca="false">INDEX(New_Applicants!B:B,MATCH($A14,New_Applicants!$A:$A,0))</f>
        <v>39</v>
      </c>
      <c r="C14" s="2" t="n">
        <f aca="false">INDEX(New_Applicants!C:C,MATCH($A14,New_Applicants!$A:$A,0))</f>
        <v>45833</v>
      </c>
      <c r="D14" s="2" t="n">
        <f aca="false">INDEX(New_Applicants!D:D,MATCH($A14,New_Applicants!$A:$A,0))</f>
        <v>814</v>
      </c>
      <c r="E14" s="2" t="n">
        <f aca="false">INDEX(New_Applicants!E:E,MATCH($A14,New_Applicants!$A:$A,0))</f>
        <v>759611</v>
      </c>
      <c r="F14" s="2" t="n">
        <f aca="false">INDEX(New_Applicants!F:F,MATCH($A14,New_Applicants!$A:$A,0))</f>
        <v>10000</v>
      </c>
      <c r="G14" s="2" t="str">
        <f aca="false">IF(AND(D14&gt;=650,(C14-F14)&gt;=30000,E14&lt;=4*12*C14),"Yes","No")</f>
        <v>Yes</v>
      </c>
      <c r="H14" s="2" t="str">
        <f aca="false">IF(C14&lt;=54566.5,IF(D14&lt;=673,IF(C14&lt;=46335.5,"No",IF(C14&lt;=48159.5,"Yes","No")),IF(C14&lt;=27685,IF(D14&lt;=815,"No","Yes"),IF(B14&lt;=53,"Yes","No"))),IF(D14&lt;=579.5,IF(C14&lt;=99726.5,IF(B14&lt;=24.5,"Yes","No"),"Yes"),IF(E14&lt;=2340998,"Yes",IF(E14&lt;=2361982,"No","Yes"))))</f>
        <v>Yes</v>
      </c>
      <c r="I14" s="3" t="b">
        <f aca="false">G14=H14</f>
        <v>1</v>
      </c>
    </row>
    <row r="15" customFormat="false" ht="15" hidden="false" customHeight="false" outlineLevel="0" collapsed="false">
      <c r="A15" s="2" t="n">
        <v>1014</v>
      </c>
      <c r="B15" s="2" t="n">
        <f aca="false">INDEX(New_Applicants!B:B,MATCH($A15,New_Applicants!$A:$A,0))</f>
        <v>28</v>
      </c>
      <c r="C15" s="2" t="n">
        <f aca="false">INDEX(New_Applicants!C:C,MATCH($A15,New_Applicants!$A:$A,0))</f>
        <v>19313</v>
      </c>
      <c r="D15" s="2" t="n">
        <f aca="false">INDEX(New_Applicants!D:D,MATCH($A15,New_Applicants!$A:$A,0))</f>
        <v>744</v>
      </c>
      <c r="E15" s="2" t="n">
        <f aca="false">INDEX(New_Applicants!E:E,MATCH($A15,New_Applicants!$A:$A,0))</f>
        <v>1274804</v>
      </c>
      <c r="F15" s="2" t="n">
        <f aca="false">INDEX(New_Applicants!F:F,MATCH($A15,New_Applicants!$A:$A,0))</f>
        <v>6847</v>
      </c>
      <c r="G15" s="2" t="str">
        <f aca="false">IF(AND(D15&gt;=650,(C15-F15)&gt;=30000,E15&lt;=4*12*C15),"Yes","No")</f>
        <v>No</v>
      </c>
      <c r="H15" s="2" t="str">
        <f aca="false">IF(C15&lt;=54566.5,IF(D15&lt;=673,IF(C15&lt;=46335.5,"No",IF(C15&lt;=48159.5,"Yes","No")),IF(C15&lt;=27685,IF(D15&lt;=815,"No","Yes"),IF(B15&lt;=53,"Yes","No"))),IF(D15&lt;=579.5,IF(C15&lt;=99726.5,IF(B15&lt;=24.5,"Yes","No"),"Yes"),IF(E15&lt;=2340998,"Yes",IF(E15&lt;=2361982,"No","Yes"))))</f>
        <v>No</v>
      </c>
      <c r="I15" s="3" t="b">
        <f aca="false">G15=H15</f>
        <v>1</v>
      </c>
    </row>
    <row r="16" customFormat="false" ht="15" hidden="false" customHeight="false" outlineLevel="0" collapsed="false">
      <c r="A16" s="2" t="n">
        <v>1015</v>
      </c>
      <c r="B16" s="2" t="n">
        <f aca="false">INDEX(New_Applicants!B:B,MATCH($A16,New_Applicants!$A:$A,0))</f>
        <v>27</v>
      </c>
      <c r="C16" s="2" t="n">
        <f aca="false">INDEX(New_Applicants!C:C,MATCH($A16,New_Applicants!$A:$A,0))</f>
        <v>20381</v>
      </c>
      <c r="D16" s="2" t="n">
        <f aca="false">INDEX(New_Applicants!D:D,MATCH($A16,New_Applicants!$A:$A,0))</f>
        <v>657</v>
      </c>
      <c r="E16" s="2" t="n">
        <f aca="false">INDEX(New_Applicants!E:E,MATCH($A16,New_Applicants!$A:$A,0))</f>
        <v>170194</v>
      </c>
      <c r="F16" s="2" t="n">
        <f aca="false">INDEX(New_Applicants!F:F,MATCH($A16,New_Applicants!$A:$A,0))</f>
        <v>22318</v>
      </c>
      <c r="G16" s="2" t="str">
        <f aca="false">IF(AND(D16&gt;=650,(C16-F16)&gt;=30000,E16&lt;=4*12*C16),"Yes","No")</f>
        <v>No</v>
      </c>
      <c r="H16" s="2" t="str">
        <f aca="false">IF(C16&lt;=54566.5,IF(D16&lt;=673,IF(C16&lt;=46335.5,"No",IF(C16&lt;=48159.5,"Yes","No")),IF(C16&lt;=27685,IF(D16&lt;=815,"No","Yes"),IF(B16&lt;=53,"Yes","No"))),IF(D16&lt;=579.5,IF(C16&lt;=99726.5,IF(B16&lt;=24.5,"Yes","No"),"Yes"),IF(E16&lt;=2340998,"Yes",IF(E16&lt;=2361982,"No","Yes"))))</f>
        <v>No</v>
      </c>
      <c r="I16" s="3" t="b">
        <f aca="false">G16=H16</f>
        <v>1</v>
      </c>
    </row>
    <row r="17" customFormat="false" ht="15" hidden="false" customHeight="false" outlineLevel="0" collapsed="false">
      <c r="A17" s="2" t="n">
        <v>1016</v>
      </c>
      <c r="B17" s="2" t="n">
        <f aca="false">INDEX(New_Applicants!B:B,MATCH($A17,New_Applicants!$A:$A,0))</f>
        <v>42</v>
      </c>
      <c r="C17" s="2" t="n">
        <f aca="false">INDEX(New_Applicants!C:C,MATCH($A17,New_Applicants!$A:$A,0))</f>
        <v>40836</v>
      </c>
      <c r="D17" s="2" t="n">
        <f aca="false">INDEX(New_Applicants!D:D,MATCH($A17,New_Applicants!$A:$A,0))</f>
        <v>572</v>
      </c>
      <c r="E17" s="2" t="n">
        <f aca="false">INDEX(New_Applicants!E:E,MATCH($A17,New_Applicants!$A:$A,0))</f>
        <v>899425</v>
      </c>
      <c r="F17" s="2" t="n">
        <f aca="false">INDEX(New_Applicants!F:F,MATCH($A17,New_Applicants!$A:$A,0))</f>
        <v>9922</v>
      </c>
      <c r="G17" s="2" t="str">
        <f aca="false">IF(AND(D17&gt;=650,(C17-F17)&gt;=30000,E17&lt;=4*12*C17),"Yes","No")</f>
        <v>No</v>
      </c>
      <c r="H17" s="2" t="str">
        <f aca="false">IF(C17&lt;=54566.5,IF(D17&lt;=673,IF(C17&lt;=46335.5,"No",IF(C17&lt;=48159.5,"Yes","No")),IF(C17&lt;=27685,IF(D17&lt;=815,"No","Yes"),IF(B17&lt;=53,"Yes","No"))),IF(D17&lt;=579.5,IF(C17&lt;=99726.5,IF(B17&lt;=24.5,"Yes","No"),"Yes"),IF(E17&lt;=2340998,"Yes",IF(E17&lt;=2361982,"No","Yes"))))</f>
        <v>No</v>
      </c>
      <c r="I17" s="3" t="b">
        <f aca="false">G17=H17</f>
        <v>1</v>
      </c>
    </row>
    <row r="18" customFormat="false" ht="15" hidden="false" customHeight="false" outlineLevel="0" collapsed="false">
      <c r="A18" s="2" t="n">
        <v>1017</v>
      </c>
      <c r="B18" s="2" t="n">
        <f aca="false">INDEX(New_Applicants!B:B,MATCH($A18,New_Applicants!$A:$A,0))</f>
        <v>33</v>
      </c>
      <c r="C18" s="2" t="n">
        <f aca="false">INDEX(New_Applicants!C:C,MATCH($A18,New_Applicants!$A:$A,0))</f>
        <v>75074</v>
      </c>
      <c r="D18" s="2" t="n">
        <f aca="false">INDEX(New_Applicants!D:D,MATCH($A18,New_Applicants!$A:$A,0))</f>
        <v>841</v>
      </c>
      <c r="E18" s="2" t="n">
        <f aca="false">INDEX(New_Applicants!E:E,MATCH($A18,New_Applicants!$A:$A,0))</f>
        <v>1084322</v>
      </c>
      <c r="F18" s="2" t="n">
        <f aca="false">INDEX(New_Applicants!F:F,MATCH($A18,New_Applicants!$A:$A,0))</f>
        <v>7406</v>
      </c>
      <c r="G18" s="2" t="str">
        <f aca="false">IF(AND(D18&gt;=650,(C18-F18)&gt;=30000,E18&lt;=4*12*C18),"Yes","No")</f>
        <v>Yes</v>
      </c>
      <c r="H18" s="2" t="str">
        <f aca="false">IF(C18&lt;=54566.5,IF(D18&lt;=673,IF(C18&lt;=46335.5,"No",IF(C18&lt;=48159.5,"Yes","No")),IF(C18&lt;=27685,IF(D18&lt;=815,"No","Yes"),IF(B18&lt;=53,"Yes","No"))),IF(D18&lt;=579.5,IF(C18&lt;=99726.5,IF(B18&lt;=24.5,"Yes","No"),"Yes"),IF(E18&lt;=2340998,"Yes",IF(E18&lt;=2361982,"No","Yes"))))</f>
        <v>Yes</v>
      </c>
      <c r="I18" s="3" t="b">
        <f aca="false">G18=H18</f>
        <v>1</v>
      </c>
    </row>
    <row r="19" customFormat="false" ht="15" hidden="false" customHeight="false" outlineLevel="0" collapsed="false">
      <c r="A19" s="2" t="n">
        <v>1018</v>
      </c>
      <c r="B19" s="2" t="n">
        <f aca="false">INDEX(New_Applicants!B:B,MATCH($A19,New_Applicants!$A:$A,0))</f>
        <v>24</v>
      </c>
      <c r="C19" s="2" t="n">
        <f aca="false">INDEX(New_Applicants!C:C,MATCH($A19,New_Applicants!$A:$A,0))</f>
        <v>21880</v>
      </c>
      <c r="D19" s="2" t="n">
        <f aca="false">INDEX(New_Applicants!D:D,MATCH($A19,New_Applicants!$A:$A,0))</f>
        <v>605</v>
      </c>
      <c r="E19" s="2" t="n">
        <f aca="false">INDEX(New_Applicants!E:E,MATCH($A19,New_Applicants!$A:$A,0))</f>
        <v>1135184</v>
      </c>
      <c r="F19" s="2" t="n">
        <f aca="false">INDEX(New_Applicants!F:F,MATCH($A19,New_Applicants!$A:$A,0))</f>
        <v>27911</v>
      </c>
      <c r="G19" s="2" t="str">
        <f aca="false">IF(AND(D19&gt;=650,(C19-F19)&gt;=30000,E19&lt;=4*12*C19),"Yes","No")</f>
        <v>No</v>
      </c>
      <c r="H19" s="2" t="str">
        <f aca="false">IF(C19&lt;=54566.5,IF(D19&lt;=673,IF(C19&lt;=46335.5,"No",IF(C19&lt;=48159.5,"Yes","No")),IF(C19&lt;=27685,IF(D19&lt;=815,"No","Yes"),IF(B19&lt;=53,"Yes","No"))),IF(D19&lt;=579.5,IF(C19&lt;=99726.5,IF(B19&lt;=24.5,"Yes","No"),"Yes"),IF(E19&lt;=2340998,"Yes",IF(E19&lt;=2361982,"No","Yes"))))</f>
        <v>No</v>
      </c>
      <c r="I19" s="3" t="b">
        <f aca="false">G19=H19</f>
        <v>1</v>
      </c>
    </row>
    <row r="20" customFormat="false" ht="15" hidden="false" customHeight="false" outlineLevel="0" collapsed="false">
      <c r="A20" s="2" t="n">
        <v>1019</v>
      </c>
      <c r="B20" s="2" t="n">
        <f aca="false">INDEX(New_Applicants!B:B,MATCH($A20,New_Applicants!$A:$A,0))</f>
        <v>37</v>
      </c>
      <c r="C20" s="2" t="n">
        <f aca="false">INDEX(New_Applicants!C:C,MATCH($A20,New_Applicants!$A:$A,0))</f>
        <v>118383</v>
      </c>
      <c r="D20" s="2" t="n">
        <f aca="false">INDEX(New_Applicants!D:D,MATCH($A20,New_Applicants!$A:$A,0))</f>
        <v>671</v>
      </c>
      <c r="E20" s="2" t="n">
        <f aca="false">INDEX(New_Applicants!E:E,MATCH($A20,New_Applicants!$A:$A,0))</f>
        <v>1422779</v>
      </c>
      <c r="F20" s="2" t="n">
        <f aca="false">INDEX(New_Applicants!F:F,MATCH($A20,New_Applicants!$A:$A,0))</f>
        <v>14478</v>
      </c>
      <c r="G20" s="2" t="str">
        <f aca="false">IF(AND(D20&gt;=650,(C20-F20)&gt;=30000,E20&lt;=4*12*C20),"Yes","No")</f>
        <v>Yes</v>
      </c>
      <c r="H20" s="2" t="str">
        <f aca="false">IF(C20&lt;=54566.5,IF(D20&lt;=673,IF(C20&lt;=46335.5,"No",IF(C20&lt;=48159.5,"Yes","No")),IF(C20&lt;=27685,IF(D20&lt;=815,"No","Yes"),IF(B20&lt;=53,"Yes","No"))),IF(D20&lt;=579.5,IF(C20&lt;=99726.5,IF(B20&lt;=24.5,"Yes","No"),"Yes"),IF(E20&lt;=2340998,"Yes",IF(E20&lt;=2361982,"No","Yes"))))</f>
        <v>Yes</v>
      </c>
      <c r="I20" s="3" t="b">
        <f aca="false">G20=H20</f>
        <v>1</v>
      </c>
    </row>
    <row r="21" customFormat="false" ht="15" hidden="false" customHeight="false" outlineLevel="0" collapsed="false">
      <c r="A21" s="2" t="n">
        <v>1020</v>
      </c>
      <c r="B21" s="2" t="n">
        <f aca="false">INDEX(New_Applicants!B:B,MATCH($A21,New_Applicants!$A:$A,0))</f>
        <v>46</v>
      </c>
      <c r="C21" s="2" t="n">
        <f aca="false">INDEX(New_Applicants!C:C,MATCH($A21,New_Applicants!$A:$A,0))</f>
        <v>62787</v>
      </c>
      <c r="D21" s="2" t="n">
        <f aca="false">INDEX(New_Applicants!D:D,MATCH($A21,New_Applicants!$A:$A,0))</f>
        <v>637</v>
      </c>
      <c r="E21" s="2" t="n">
        <f aca="false">INDEX(New_Applicants!E:E,MATCH($A21,New_Applicants!$A:$A,0))</f>
        <v>1973394</v>
      </c>
      <c r="F21" s="2" t="n">
        <f aca="false">INDEX(New_Applicants!F:F,MATCH($A21,New_Applicants!$A:$A,0))</f>
        <v>1457</v>
      </c>
      <c r="G21" s="2" t="str">
        <f aca="false">IF(AND(D21&gt;=650,(C21-F21)&gt;=30000,E21&lt;=4*12*C21),"Yes","No")</f>
        <v>No</v>
      </c>
      <c r="H21" s="2" t="str">
        <f aca="false">IF(C21&lt;=54566.5,IF(D21&lt;=673,IF(C21&lt;=46335.5,"No",IF(C21&lt;=48159.5,"Yes","No")),IF(C21&lt;=27685,IF(D21&lt;=815,"No","Yes"),IF(B21&lt;=53,"Yes","No"))),IF(D21&lt;=579.5,IF(C21&lt;=99726.5,IF(B21&lt;=24.5,"Yes","No"),"Yes"),IF(E21&lt;=2340998,"Yes",IF(E21&lt;=2361982,"No","Yes"))))</f>
        <v>Yes</v>
      </c>
      <c r="I21" s="3" t="b">
        <f aca="false">G21=H21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12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customFormat="false" ht="15" hidden="false" customHeight="false" outlineLevel="0" collapsed="false">
      <c r="A2" s="2" t="s">
        <v>13</v>
      </c>
      <c r="B2" s="2" t="n">
        <v>1001</v>
      </c>
      <c r="C2" s="2" t="n">
        <v>54</v>
      </c>
      <c r="D2" s="2" t="n">
        <v>48489</v>
      </c>
      <c r="E2" s="2" t="n">
        <v>592</v>
      </c>
      <c r="F2" s="2" t="n">
        <v>653320</v>
      </c>
      <c r="G2" s="2" t="n">
        <v>14016</v>
      </c>
    </row>
    <row r="3" customFormat="false" ht="15" hidden="false" customHeight="false" outlineLevel="0" collapsed="false">
      <c r="A3" s="2" t="s">
        <v>13</v>
      </c>
      <c r="B3" s="2" t="n">
        <v>1002</v>
      </c>
      <c r="C3" s="2" t="n">
        <v>39</v>
      </c>
      <c r="D3" s="2" t="n">
        <v>115311</v>
      </c>
      <c r="E3" s="2" t="n">
        <v>680</v>
      </c>
      <c r="F3" s="2" t="n">
        <v>1099863</v>
      </c>
      <c r="G3" s="2" t="n">
        <v>25236</v>
      </c>
    </row>
    <row r="4" customFormat="false" ht="15" hidden="false" customHeight="false" outlineLevel="0" collapsed="false">
      <c r="A4" s="2" t="s">
        <v>13</v>
      </c>
      <c r="B4" s="2" t="n">
        <v>1003</v>
      </c>
      <c r="C4" s="2" t="n">
        <v>58</v>
      </c>
      <c r="D4" s="2" t="n">
        <v>96852</v>
      </c>
      <c r="E4" s="2" t="n">
        <v>776</v>
      </c>
      <c r="F4" s="2" t="n">
        <v>463562</v>
      </c>
      <c r="G4" s="2" t="n">
        <v>15892</v>
      </c>
    </row>
    <row r="5" customFormat="false" ht="15" hidden="false" customHeight="false" outlineLevel="0" collapsed="false">
      <c r="A5" s="2" t="s">
        <v>13</v>
      </c>
      <c r="B5" s="2" t="n">
        <v>1004</v>
      </c>
      <c r="C5" s="2" t="n">
        <v>59</v>
      </c>
      <c r="D5" s="2" t="n">
        <v>68836</v>
      </c>
      <c r="E5" s="2" t="n">
        <v>609</v>
      </c>
      <c r="F5" s="2" t="n">
        <v>103985</v>
      </c>
      <c r="G5" s="2" t="n">
        <v>7810</v>
      </c>
    </row>
    <row r="6" customFormat="false" ht="15" hidden="false" customHeight="false" outlineLevel="0" collapsed="false">
      <c r="A6" s="2" t="s">
        <v>13</v>
      </c>
      <c r="B6" s="2" t="n">
        <v>1005</v>
      </c>
      <c r="C6" s="2" t="n">
        <v>43</v>
      </c>
      <c r="D6" s="2" t="n">
        <v>113138</v>
      </c>
      <c r="E6" s="2" t="n">
        <v>516</v>
      </c>
      <c r="F6" s="2" t="n">
        <v>795983</v>
      </c>
      <c r="G6" s="2" t="n">
        <v>6870</v>
      </c>
    </row>
    <row r="7" customFormat="false" ht="15" hidden="false" customHeight="false" outlineLevel="0" collapsed="false">
      <c r="A7" s="2" t="s">
        <v>13</v>
      </c>
      <c r="B7" s="2" t="n">
        <v>1006</v>
      </c>
      <c r="C7" s="2" t="n">
        <v>47</v>
      </c>
      <c r="D7" s="2" t="n">
        <v>60462</v>
      </c>
      <c r="E7" s="2" t="n">
        <v>517</v>
      </c>
      <c r="F7" s="2" t="n">
        <v>368968</v>
      </c>
      <c r="G7" s="2" t="n">
        <v>9674</v>
      </c>
    </row>
    <row r="8" customFormat="false" ht="15" hidden="false" customHeight="false" outlineLevel="0" collapsed="false">
      <c r="A8" s="2" t="s">
        <v>13</v>
      </c>
      <c r="B8" s="2" t="n">
        <v>1007</v>
      </c>
      <c r="C8" s="2" t="n">
        <v>30</v>
      </c>
      <c r="D8" s="2" t="n">
        <v>29665</v>
      </c>
      <c r="E8" s="2" t="n">
        <v>798</v>
      </c>
      <c r="F8" s="2" t="n">
        <v>1095469</v>
      </c>
      <c r="G8" s="2" t="n">
        <v>17923</v>
      </c>
    </row>
    <row r="9" customFormat="false" ht="15" hidden="false" customHeight="false" outlineLevel="0" collapsed="false">
      <c r="A9" s="2" t="s">
        <v>13</v>
      </c>
      <c r="B9" s="2" t="n">
        <v>1008</v>
      </c>
      <c r="C9" s="2" t="n">
        <v>52</v>
      </c>
      <c r="D9" s="2" t="n">
        <v>18763</v>
      </c>
      <c r="E9" s="2" t="n">
        <v>539</v>
      </c>
      <c r="F9" s="2" t="n">
        <v>2170634</v>
      </c>
      <c r="G9" s="2" t="n">
        <v>7274</v>
      </c>
    </row>
    <row r="10" customFormat="false" ht="15" hidden="false" customHeight="false" outlineLevel="0" collapsed="false">
      <c r="A10" s="2" t="s">
        <v>13</v>
      </c>
      <c r="B10" s="2" t="n">
        <v>1009</v>
      </c>
      <c r="C10" s="2" t="n">
        <v>47</v>
      </c>
      <c r="D10" s="2" t="n">
        <v>113492</v>
      </c>
      <c r="E10" s="2" t="n">
        <v>722</v>
      </c>
      <c r="F10" s="2" t="n">
        <v>490166</v>
      </c>
      <c r="G10" s="2" t="n">
        <v>27425</v>
      </c>
    </row>
    <row r="11" customFormat="false" ht="15" hidden="false" customHeight="false" outlineLevel="0" collapsed="false">
      <c r="A11" s="2" t="s">
        <v>13</v>
      </c>
      <c r="B11" s="2" t="n">
        <v>1010</v>
      </c>
      <c r="C11" s="2" t="n">
        <v>56</v>
      </c>
      <c r="D11" s="2" t="n">
        <v>115776</v>
      </c>
      <c r="E11" s="2" t="n">
        <v>634</v>
      </c>
      <c r="F11" s="2" t="n">
        <v>102959</v>
      </c>
      <c r="G11" s="2" t="n">
        <v>14395</v>
      </c>
    </row>
    <row r="12" customFormat="false" ht="15" hidden="false" customHeight="false" outlineLevel="0" collapsed="false">
      <c r="A12" s="2" t="s">
        <v>13</v>
      </c>
      <c r="B12" s="2" t="n">
        <v>1011</v>
      </c>
      <c r="C12" s="2" t="n">
        <v>31</v>
      </c>
      <c r="D12" s="2" t="n">
        <v>92621</v>
      </c>
      <c r="E12" s="2" t="n">
        <v>772</v>
      </c>
      <c r="F12" s="2" t="n">
        <v>366625</v>
      </c>
      <c r="G12" s="2" t="n">
        <v>25898</v>
      </c>
    </row>
    <row r="13" customFormat="false" ht="15" hidden="false" customHeight="false" outlineLevel="0" collapsed="false">
      <c r="A13" s="2" t="s">
        <v>13</v>
      </c>
      <c r="B13" s="2" t="n">
        <v>1012</v>
      </c>
      <c r="C13" s="2" t="n">
        <v>51</v>
      </c>
      <c r="D13" s="2" t="n">
        <v>25815</v>
      </c>
      <c r="E13" s="2" t="n">
        <v>521</v>
      </c>
      <c r="F13" s="2" t="n">
        <v>1319601</v>
      </c>
      <c r="G13" s="2" t="n">
        <v>20497</v>
      </c>
    </row>
    <row r="14" customFormat="false" ht="15" hidden="false" customHeight="false" outlineLevel="0" collapsed="false">
      <c r="A14" s="2" t="s">
        <v>13</v>
      </c>
      <c r="B14" s="2" t="n">
        <v>1013</v>
      </c>
      <c r="C14" s="2" t="n">
        <v>39</v>
      </c>
      <c r="D14" s="2" t="n">
        <v>45833</v>
      </c>
      <c r="E14" s="2" t="n">
        <v>814</v>
      </c>
      <c r="F14" s="2" t="n">
        <v>759611</v>
      </c>
      <c r="G14" s="2" t="n">
        <v>10000</v>
      </c>
    </row>
    <row r="15" customFormat="false" ht="15" hidden="false" customHeight="false" outlineLevel="0" collapsed="false">
      <c r="A15" s="2" t="s">
        <v>13</v>
      </c>
      <c r="B15" s="2" t="n">
        <v>1014</v>
      </c>
      <c r="C15" s="2" t="n">
        <v>28</v>
      </c>
      <c r="D15" s="2" t="n">
        <v>19313</v>
      </c>
      <c r="E15" s="2" t="n">
        <v>744</v>
      </c>
      <c r="F15" s="2" t="n">
        <v>1274804</v>
      </c>
      <c r="G15" s="2" t="n">
        <v>6847</v>
      </c>
    </row>
    <row r="16" customFormat="false" ht="15" hidden="false" customHeight="false" outlineLevel="0" collapsed="false">
      <c r="A16" s="2" t="s">
        <v>13</v>
      </c>
      <c r="B16" s="2" t="n">
        <v>1015</v>
      </c>
      <c r="C16" s="2" t="n">
        <v>27</v>
      </c>
      <c r="D16" s="2" t="n">
        <v>20381</v>
      </c>
      <c r="E16" s="2" t="n">
        <v>657</v>
      </c>
      <c r="F16" s="2" t="n">
        <v>170194</v>
      </c>
      <c r="G16" s="2" t="n">
        <v>22318</v>
      </c>
    </row>
    <row r="17" customFormat="false" ht="15" hidden="false" customHeight="false" outlineLevel="0" collapsed="false">
      <c r="A17" s="2" t="s">
        <v>13</v>
      </c>
      <c r="B17" s="2" t="n">
        <v>1016</v>
      </c>
      <c r="C17" s="2" t="n">
        <v>42</v>
      </c>
      <c r="D17" s="2" t="n">
        <v>40836</v>
      </c>
      <c r="E17" s="2" t="n">
        <v>572</v>
      </c>
      <c r="F17" s="2" t="n">
        <v>899425</v>
      </c>
      <c r="G17" s="2" t="n">
        <v>9922</v>
      </c>
    </row>
    <row r="18" customFormat="false" ht="15" hidden="false" customHeight="false" outlineLevel="0" collapsed="false">
      <c r="A18" s="2" t="s">
        <v>13</v>
      </c>
      <c r="B18" s="2" t="n">
        <v>1017</v>
      </c>
      <c r="C18" s="2" t="n">
        <v>33</v>
      </c>
      <c r="D18" s="2" t="n">
        <v>75074</v>
      </c>
      <c r="E18" s="2" t="n">
        <v>841</v>
      </c>
      <c r="F18" s="2" t="n">
        <v>1084322</v>
      </c>
      <c r="G18" s="2" t="n">
        <v>7406</v>
      </c>
    </row>
    <row r="19" customFormat="false" ht="15" hidden="false" customHeight="false" outlineLevel="0" collapsed="false">
      <c r="A19" s="2" t="s">
        <v>13</v>
      </c>
      <c r="B19" s="2" t="n">
        <v>1018</v>
      </c>
      <c r="C19" s="2" t="n">
        <v>24</v>
      </c>
      <c r="D19" s="2" t="n">
        <v>21880</v>
      </c>
      <c r="E19" s="2" t="n">
        <v>605</v>
      </c>
      <c r="F19" s="2" t="n">
        <v>1135184</v>
      </c>
      <c r="G19" s="2" t="n">
        <v>27911</v>
      </c>
    </row>
    <row r="20" customFormat="false" ht="15" hidden="false" customHeight="false" outlineLevel="0" collapsed="false">
      <c r="A20" s="2" t="s">
        <v>13</v>
      </c>
      <c r="B20" s="2" t="n">
        <v>1019</v>
      </c>
      <c r="C20" s="2" t="n">
        <v>37</v>
      </c>
      <c r="D20" s="2" t="n">
        <v>118383</v>
      </c>
      <c r="E20" s="2" t="n">
        <v>671</v>
      </c>
      <c r="F20" s="2" t="n">
        <v>1422779</v>
      </c>
      <c r="G20" s="2" t="n">
        <v>14478</v>
      </c>
    </row>
    <row r="21" customFormat="false" ht="15" hidden="false" customHeight="false" outlineLevel="0" collapsed="false">
      <c r="A21" s="2" t="s">
        <v>13</v>
      </c>
      <c r="B21" s="2" t="n">
        <v>1020</v>
      </c>
      <c r="C21" s="2" t="n">
        <v>46</v>
      </c>
      <c r="D21" s="2" t="n">
        <v>62787</v>
      </c>
      <c r="E21" s="2" t="n">
        <v>637</v>
      </c>
      <c r="F21" s="2" t="n">
        <v>1973394</v>
      </c>
      <c r="G21" s="2" t="n">
        <v>1457</v>
      </c>
    </row>
    <row r="22" customFormat="false" ht="15" hidden="false" customHeight="false" outlineLevel="0" collapsed="false">
      <c r="A22" s="2" t="s">
        <v>14</v>
      </c>
      <c r="B22" s="2" t="n">
        <v>1</v>
      </c>
      <c r="C22" s="2" t="n">
        <v>24</v>
      </c>
      <c r="D22" s="2" t="n">
        <v>53457</v>
      </c>
      <c r="E22" s="2" t="n">
        <v>849</v>
      </c>
      <c r="F22" s="2" t="n">
        <v>1579081</v>
      </c>
      <c r="G22" s="2" t="n">
        <v>362</v>
      </c>
      <c r="H22" s="2" t="s">
        <v>7</v>
      </c>
    </row>
    <row r="23" customFormat="false" ht="15" hidden="false" customHeight="false" outlineLevel="0" collapsed="false">
      <c r="A23" s="2" t="s">
        <v>14</v>
      </c>
      <c r="B23" s="2" t="n">
        <v>2</v>
      </c>
      <c r="C23" s="2" t="n">
        <v>51</v>
      </c>
      <c r="D23" s="2" t="n">
        <v>110400</v>
      </c>
      <c r="E23" s="2" t="n">
        <v>772</v>
      </c>
      <c r="F23" s="2" t="n">
        <v>1969591</v>
      </c>
      <c r="G23" s="2" t="n">
        <v>9057</v>
      </c>
      <c r="H23" s="2" t="s">
        <v>7</v>
      </c>
    </row>
    <row r="24" customFormat="false" ht="15" hidden="false" customHeight="false" outlineLevel="0" collapsed="false">
      <c r="A24" s="2" t="s">
        <v>14</v>
      </c>
      <c r="B24" s="2" t="n">
        <v>3</v>
      </c>
      <c r="C24" s="2" t="n">
        <v>46</v>
      </c>
      <c r="D24" s="2" t="n">
        <v>66981</v>
      </c>
      <c r="E24" s="2" t="n">
        <v>612</v>
      </c>
      <c r="F24" s="2" t="n">
        <v>1873703</v>
      </c>
      <c r="G24" s="2" t="n">
        <v>15466</v>
      </c>
      <c r="H24" s="2" t="s">
        <v>7</v>
      </c>
    </row>
    <row r="25" customFormat="false" ht="15" hidden="false" customHeight="false" outlineLevel="0" collapsed="false">
      <c r="A25" s="2" t="s">
        <v>14</v>
      </c>
      <c r="B25" s="2" t="n">
        <v>4</v>
      </c>
      <c r="C25" s="2" t="n">
        <v>38</v>
      </c>
      <c r="D25" s="2" t="n">
        <v>88469</v>
      </c>
      <c r="E25" s="2" t="n">
        <v>840</v>
      </c>
      <c r="F25" s="2" t="n">
        <v>422925</v>
      </c>
      <c r="G25" s="2" t="n">
        <v>27553</v>
      </c>
      <c r="H25" s="2" t="s">
        <v>7</v>
      </c>
    </row>
    <row r="26" customFormat="false" ht="15" hidden="false" customHeight="false" outlineLevel="0" collapsed="false">
      <c r="A26" s="2" t="s">
        <v>14</v>
      </c>
      <c r="B26" s="2" t="n">
        <v>5</v>
      </c>
      <c r="C26" s="2" t="n">
        <v>37</v>
      </c>
      <c r="D26" s="2" t="n">
        <v>63028</v>
      </c>
      <c r="E26" s="2" t="n">
        <v>674</v>
      </c>
      <c r="F26" s="2" t="n">
        <v>2082531</v>
      </c>
      <c r="G26" s="2" t="n">
        <v>22146</v>
      </c>
      <c r="H26" s="2" t="s">
        <v>7</v>
      </c>
    </row>
    <row r="27" customFormat="false" ht="15" hidden="false" customHeight="false" outlineLevel="0" collapsed="false">
      <c r="A27" s="2" t="s">
        <v>14</v>
      </c>
      <c r="B27" s="2" t="n">
        <v>6</v>
      </c>
      <c r="C27" s="2" t="n">
        <v>54</v>
      </c>
      <c r="D27" s="2" t="n">
        <v>42916</v>
      </c>
      <c r="E27" s="2" t="n">
        <v>675</v>
      </c>
      <c r="F27" s="2" t="n">
        <v>1386563</v>
      </c>
      <c r="G27" s="2" t="n">
        <v>23438</v>
      </c>
      <c r="H27" s="2" t="s">
        <v>8</v>
      </c>
    </row>
    <row r="28" customFormat="false" ht="15" hidden="false" customHeight="false" outlineLevel="0" collapsed="false">
      <c r="A28" s="2" t="s">
        <v>14</v>
      </c>
      <c r="B28" s="2" t="n">
        <v>7</v>
      </c>
      <c r="C28" s="2" t="n">
        <v>24</v>
      </c>
      <c r="D28" s="2" t="n">
        <v>95244</v>
      </c>
      <c r="E28" s="2" t="n">
        <v>651</v>
      </c>
      <c r="F28" s="2" t="n">
        <v>875400</v>
      </c>
      <c r="G28" s="2" t="n">
        <v>16347</v>
      </c>
      <c r="H28" s="2" t="s">
        <v>7</v>
      </c>
    </row>
    <row r="29" customFormat="false" ht="15" hidden="false" customHeight="false" outlineLevel="0" collapsed="false">
      <c r="A29" s="2" t="s">
        <v>14</v>
      </c>
      <c r="B29" s="2" t="n">
        <v>8</v>
      </c>
      <c r="C29" s="2" t="n">
        <v>48</v>
      </c>
      <c r="D29" s="2" t="n">
        <v>116763</v>
      </c>
      <c r="E29" s="2" t="n">
        <v>550</v>
      </c>
      <c r="F29" s="2" t="n">
        <v>1334134</v>
      </c>
      <c r="G29" s="2" t="n">
        <v>3317</v>
      </c>
      <c r="H29" s="2" t="s">
        <v>7</v>
      </c>
    </row>
    <row r="30" customFormat="false" ht="15" hidden="false" customHeight="false" outlineLevel="0" collapsed="false">
      <c r="A30" s="2" t="s">
        <v>14</v>
      </c>
      <c r="B30" s="2" t="n">
        <v>9</v>
      </c>
      <c r="C30" s="2" t="n">
        <v>28</v>
      </c>
      <c r="D30" s="2" t="n">
        <v>42670</v>
      </c>
      <c r="E30" s="2" t="n">
        <v>827</v>
      </c>
      <c r="F30" s="2" t="n">
        <v>2420760</v>
      </c>
      <c r="G30" s="2" t="n">
        <v>11727</v>
      </c>
      <c r="H30" s="2" t="s">
        <v>7</v>
      </c>
    </row>
    <row r="31" customFormat="false" ht="15" hidden="false" customHeight="false" outlineLevel="0" collapsed="false">
      <c r="A31" s="2" t="s">
        <v>14</v>
      </c>
      <c r="B31" s="2" t="n">
        <v>10</v>
      </c>
      <c r="C31" s="2" t="n">
        <v>24</v>
      </c>
      <c r="D31" s="2" t="n">
        <v>96768</v>
      </c>
      <c r="E31" s="2" t="n">
        <v>504</v>
      </c>
      <c r="F31" s="2" t="n">
        <v>2158173</v>
      </c>
      <c r="G31" s="2" t="n">
        <v>29911</v>
      </c>
      <c r="H31" s="2" t="s">
        <v>8</v>
      </c>
    </row>
    <row r="32" customFormat="false" ht="15" hidden="false" customHeight="false" outlineLevel="0" collapsed="false">
      <c r="A32" s="2" t="s">
        <v>14</v>
      </c>
      <c r="B32" s="2" t="n">
        <v>11</v>
      </c>
      <c r="C32" s="2" t="n">
        <v>41</v>
      </c>
      <c r="D32" s="2" t="n">
        <v>42419</v>
      </c>
      <c r="E32" s="2" t="n">
        <v>560</v>
      </c>
      <c r="F32" s="2" t="n">
        <v>2100876</v>
      </c>
      <c r="G32" s="2" t="n">
        <v>1325</v>
      </c>
      <c r="H32" s="2" t="s">
        <v>8</v>
      </c>
    </row>
    <row r="33" customFormat="false" ht="15" hidden="false" customHeight="false" outlineLevel="0" collapsed="false">
      <c r="A33" s="2" t="s">
        <v>14</v>
      </c>
      <c r="B33" s="2" t="n">
        <v>12</v>
      </c>
      <c r="C33" s="2" t="n">
        <v>59</v>
      </c>
      <c r="D33" s="2" t="n">
        <v>90273</v>
      </c>
      <c r="E33" s="2" t="n">
        <v>580</v>
      </c>
      <c r="F33" s="2" t="n">
        <v>1210718</v>
      </c>
      <c r="G33" s="2" t="n">
        <v>26376</v>
      </c>
      <c r="H33" s="2" t="s">
        <v>7</v>
      </c>
    </row>
    <row r="34" customFormat="false" ht="15" hidden="false" customHeight="false" outlineLevel="0" collapsed="false">
      <c r="A34" s="2" t="s">
        <v>14</v>
      </c>
      <c r="B34" s="2" t="n">
        <v>13</v>
      </c>
      <c r="C34" s="2" t="n">
        <v>49</v>
      </c>
      <c r="D34" s="2" t="n">
        <v>97845</v>
      </c>
      <c r="E34" s="2" t="n">
        <v>597</v>
      </c>
      <c r="F34" s="2" t="n">
        <v>1981930</v>
      </c>
      <c r="G34" s="2" t="n">
        <v>20534</v>
      </c>
      <c r="H34" s="2" t="s">
        <v>7</v>
      </c>
    </row>
    <row r="35" customFormat="false" ht="15" hidden="false" customHeight="false" outlineLevel="0" collapsed="false">
      <c r="A35" s="2" t="s">
        <v>14</v>
      </c>
      <c r="B35" s="2" t="n">
        <v>14</v>
      </c>
      <c r="C35" s="2" t="n">
        <v>50</v>
      </c>
      <c r="D35" s="2" t="n">
        <v>62182</v>
      </c>
      <c r="E35" s="2" t="n">
        <v>546</v>
      </c>
      <c r="F35" s="2" t="n">
        <v>1024214</v>
      </c>
      <c r="G35" s="2" t="n">
        <v>8517</v>
      </c>
      <c r="H35" s="2" t="s">
        <v>8</v>
      </c>
    </row>
    <row r="36" customFormat="false" ht="15" hidden="false" customHeight="false" outlineLevel="0" collapsed="false">
      <c r="A36" s="2" t="s">
        <v>14</v>
      </c>
      <c r="B36" s="2" t="n">
        <v>15</v>
      </c>
      <c r="C36" s="2" t="n">
        <v>48</v>
      </c>
      <c r="D36" s="2" t="n">
        <v>92376</v>
      </c>
      <c r="E36" s="2" t="n">
        <v>506</v>
      </c>
      <c r="F36" s="2" t="n">
        <v>1746797</v>
      </c>
      <c r="G36" s="2" t="n">
        <v>23339</v>
      </c>
      <c r="H36" s="2" t="s">
        <v>8</v>
      </c>
    </row>
    <row r="37" customFormat="false" ht="15" hidden="false" customHeight="false" outlineLevel="0" collapsed="false">
      <c r="A37" s="2" t="s">
        <v>14</v>
      </c>
      <c r="B37" s="2" t="n">
        <v>16</v>
      </c>
      <c r="C37" s="2" t="n">
        <v>51</v>
      </c>
      <c r="D37" s="2" t="n">
        <v>43585</v>
      </c>
      <c r="E37" s="2" t="n">
        <v>737</v>
      </c>
      <c r="F37" s="2" t="n">
        <v>1634951</v>
      </c>
      <c r="G37" s="2" t="n">
        <v>25106</v>
      </c>
      <c r="H37" s="2" t="s">
        <v>8</v>
      </c>
    </row>
    <row r="38" customFormat="false" ht="15" hidden="false" customHeight="false" outlineLevel="0" collapsed="false">
      <c r="A38" s="2" t="s">
        <v>14</v>
      </c>
      <c r="B38" s="2" t="n">
        <v>17</v>
      </c>
      <c r="C38" s="2" t="n">
        <v>41</v>
      </c>
      <c r="D38" s="2" t="n">
        <v>23321</v>
      </c>
      <c r="E38" s="2" t="n">
        <v>839</v>
      </c>
      <c r="F38" s="2" t="n">
        <v>699516</v>
      </c>
      <c r="G38" s="2" t="n">
        <v>1296</v>
      </c>
      <c r="H38" s="2" t="s">
        <v>7</v>
      </c>
    </row>
    <row r="39" customFormat="false" ht="15" hidden="false" customHeight="false" outlineLevel="0" collapsed="false">
      <c r="A39" s="2" t="s">
        <v>14</v>
      </c>
      <c r="B39" s="2" t="n">
        <v>18</v>
      </c>
      <c r="C39" s="2" t="n">
        <v>25</v>
      </c>
      <c r="D39" s="2" t="n">
        <v>25121</v>
      </c>
      <c r="E39" s="2" t="n">
        <v>542</v>
      </c>
      <c r="F39" s="2" t="n">
        <v>739511</v>
      </c>
      <c r="G39" s="2" t="n">
        <v>3192</v>
      </c>
      <c r="H39" s="2" t="s">
        <v>8</v>
      </c>
    </row>
    <row r="40" customFormat="false" ht="15" hidden="false" customHeight="false" outlineLevel="0" collapsed="false">
      <c r="A40" s="2" t="s">
        <v>14</v>
      </c>
      <c r="B40" s="2" t="n">
        <v>19</v>
      </c>
      <c r="C40" s="2" t="n">
        <v>53</v>
      </c>
      <c r="D40" s="2" t="n">
        <v>61937</v>
      </c>
      <c r="E40" s="2" t="n">
        <v>603</v>
      </c>
      <c r="F40" s="2" t="n">
        <v>246719</v>
      </c>
      <c r="G40" s="2" t="n">
        <v>19972</v>
      </c>
      <c r="H40" s="2" t="s">
        <v>8</v>
      </c>
    </row>
    <row r="41" customFormat="false" ht="15" hidden="false" customHeight="false" outlineLevel="0" collapsed="false">
      <c r="A41" s="2" t="s">
        <v>14</v>
      </c>
      <c r="B41" s="2" t="n">
        <v>20</v>
      </c>
      <c r="C41" s="2" t="n">
        <v>38</v>
      </c>
      <c r="D41" s="2" t="n">
        <v>109773</v>
      </c>
      <c r="E41" s="2" t="n">
        <v>677</v>
      </c>
      <c r="F41" s="2" t="n">
        <v>435444</v>
      </c>
      <c r="G41" s="2" t="n">
        <v>29973</v>
      </c>
      <c r="H41" s="2" t="s">
        <v>7</v>
      </c>
    </row>
    <row r="42" customFormat="false" ht="15" hidden="false" customHeight="false" outlineLevel="0" collapsed="false">
      <c r="A42" s="2" t="s">
        <v>14</v>
      </c>
      <c r="B42" s="2" t="n">
        <v>21</v>
      </c>
      <c r="C42" s="2" t="n">
        <v>40</v>
      </c>
      <c r="D42" s="2" t="n">
        <v>28395</v>
      </c>
      <c r="E42" s="2" t="n">
        <v>824</v>
      </c>
      <c r="F42" s="2" t="n">
        <v>1140684</v>
      </c>
      <c r="G42" s="2" t="n">
        <v>718</v>
      </c>
      <c r="H42" s="2" t="s">
        <v>7</v>
      </c>
    </row>
    <row r="43" customFormat="false" ht="15" hidden="false" customHeight="false" outlineLevel="0" collapsed="false">
      <c r="A43" s="2" t="s">
        <v>14</v>
      </c>
      <c r="B43" s="2" t="n">
        <v>22</v>
      </c>
      <c r="C43" s="2" t="n">
        <v>35</v>
      </c>
      <c r="D43" s="2" t="n">
        <v>62856</v>
      </c>
      <c r="E43" s="2" t="n">
        <v>742</v>
      </c>
      <c r="F43" s="2" t="n">
        <v>1246905</v>
      </c>
      <c r="G43" s="2" t="n">
        <v>19970</v>
      </c>
      <c r="H43" s="2" t="s">
        <v>7</v>
      </c>
    </row>
    <row r="44" customFormat="false" ht="15" hidden="false" customHeight="false" outlineLevel="0" collapsed="false">
      <c r="A44" s="2" t="s">
        <v>14</v>
      </c>
      <c r="B44" s="2" t="n">
        <v>23</v>
      </c>
      <c r="C44" s="2" t="n">
        <v>28</v>
      </c>
      <c r="D44" s="2" t="n">
        <v>88923</v>
      </c>
      <c r="E44" s="2" t="n">
        <v>768</v>
      </c>
      <c r="F44" s="2" t="n">
        <v>496289</v>
      </c>
      <c r="G44" s="2" t="n">
        <v>4095</v>
      </c>
      <c r="H44" s="2" t="s">
        <v>7</v>
      </c>
    </row>
    <row r="45" customFormat="false" ht="15" hidden="false" customHeight="false" outlineLevel="0" collapsed="false">
      <c r="A45" s="2" t="s">
        <v>14</v>
      </c>
      <c r="B45" s="2" t="n">
        <v>24</v>
      </c>
      <c r="C45" s="2" t="n">
        <v>57</v>
      </c>
      <c r="D45" s="2" t="n">
        <v>36248</v>
      </c>
      <c r="E45" s="2" t="n">
        <v>703</v>
      </c>
      <c r="F45" s="2" t="n">
        <v>1100534</v>
      </c>
      <c r="G45" s="2" t="n">
        <v>19503</v>
      </c>
      <c r="H45" s="2" t="s">
        <v>8</v>
      </c>
    </row>
    <row r="46" customFormat="false" ht="15" hidden="false" customHeight="false" outlineLevel="0" collapsed="false">
      <c r="A46" s="2" t="s">
        <v>14</v>
      </c>
      <c r="B46" s="2" t="n">
        <v>25</v>
      </c>
      <c r="C46" s="2" t="n">
        <v>51</v>
      </c>
      <c r="D46" s="2" t="n">
        <v>90769</v>
      </c>
      <c r="E46" s="2" t="n">
        <v>645</v>
      </c>
      <c r="F46" s="2" t="n">
        <v>1550026</v>
      </c>
      <c r="G46" s="2" t="n">
        <v>18699</v>
      </c>
      <c r="H46" s="2" t="s">
        <v>7</v>
      </c>
    </row>
    <row r="47" customFormat="false" ht="15" hidden="false" customHeight="false" outlineLevel="0" collapsed="false">
      <c r="A47" s="2" t="s">
        <v>14</v>
      </c>
      <c r="B47" s="2" t="n">
        <v>26</v>
      </c>
      <c r="C47" s="2" t="n">
        <v>46</v>
      </c>
      <c r="D47" s="2" t="n">
        <v>47125</v>
      </c>
      <c r="E47" s="2" t="n">
        <v>569</v>
      </c>
      <c r="F47" s="2" t="n">
        <v>658167</v>
      </c>
      <c r="G47" s="2" t="n">
        <v>2713</v>
      </c>
      <c r="H47" s="2" t="s">
        <v>7</v>
      </c>
    </row>
    <row r="48" customFormat="false" ht="15" hidden="false" customHeight="false" outlineLevel="0" collapsed="false">
      <c r="A48" s="2" t="s">
        <v>14</v>
      </c>
      <c r="B48" s="2" t="n">
        <v>27</v>
      </c>
      <c r="C48" s="2" t="n">
        <v>36</v>
      </c>
      <c r="D48" s="2" t="n">
        <v>99909</v>
      </c>
      <c r="E48" s="2" t="n">
        <v>802</v>
      </c>
      <c r="F48" s="2" t="n">
        <v>911768</v>
      </c>
      <c r="G48" s="2" t="n">
        <v>20421</v>
      </c>
      <c r="H48" s="2" t="s">
        <v>7</v>
      </c>
    </row>
    <row r="49" customFormat="false" ht="15" hidden="false" customHeight="false" outlineLevel="0" collapsed="false">
      <c r="A49" s="2" t="s">
        <v>14</v>
      </c>
      <c r="B49" s="2" t="n">
        <v>28</v>
      </c>
      <c r="C49" s="2" t="n">
        <v>53</v>
      </c>
      <c r="D49" s="2" t="n">
        <v>75818</v>
      </c>
      <c r="E49" s="2" t="n">
        <v>781</v>
      </c>
      <c r="F49" s="2" t="n">
        <v>982028</v>
      </c>
      <c r="G49" s="2" t="n">
        <v>26911</v>
      </c>
      <c r="H49" s="2" t="s">
        <v>7</v>
      </c>
    </row>
    <row r="50" customFormat="false" ht="15" hidden="false" customHeight="false" outlineLevel="0" collapsed="false">
      <c r="A50" s="2" t="s">
        <v>14</v>
      </c>
      <c r="B50" s="2" t="n">
        <v>29</v>
      </c>
      <c r="C50" s="2" t="n">
        <v>42</v>
      </c>
      <c r="D50" s="2" t="n">
        <v>72425</v>
      </c>
      <c r="E50" s="2" t="n">
        <v>508</v>
      </c>
      <c r="F50" s="2" t="n">
        <v>1312129</v>
      </c>
      <c r="G50" s="2" t="n">
        <v>25903</v>
      </c>
      <c r="H50" s="2" t="s">
        <v>8</v>
      </c>
    </row>
    <row r="51" customFormat="false" ht="15" hidden="false" customHeight="false" outlineLevel="0" collapsed="false">
      <c r="A51" s="2" t="s">
        <v>14</v>
      </c>
      <c r="B51" s="2" t="n">
        <v>30</v>
      </c>
      <c r="C51" s="2" t="n">
        <v>38</v>
      </c>
      <c r="D51" s="2" t="n">
        <v>33561</v>
      </c>
      <c r="E51" s="2" t="n">
        <v>750</v>
      </c>
      <c r="F51" s="2" t="n">
        <v>979341</v>
      </c>
      <c r="G51" s="2" t="n">
        <v>869</v>
      </c>
      <c r="H51" s="2" t="s">
        <v>7</v>
      </c>
    </row>
    <row r="52" customFormat="false" ht="15" hidden="false" customHeight="false" outlineLevel="0" collapsed="false">
      <c r="A52" s="2" t="s">
        <v>14</v>
      </c>
      <c r="B52" s="2" t="n">
        <v>31</v>
      </c>
      <c r="C52" s="2" t="n">
        <v>38</v>
      </c>
      <c r="D52" s="2" t="n">
        <v>63636</v>
      </c>
      <c r="E52" s="2" t="n">
        <v>529</v>
      </c>
      <c r="F52" s="2" t="n">
        <v>1868667</v>
      </c>
      <c r="G52" s="2" t="n">
        <v>7377</v>
      </c>
      <c r="H52" s="2" t="s">
        <v>8</v>
      </c>
    </row>
    <row r="53" customFormat="false" ht="15" hidden="false" customHeight="false" outlineLevel="0" collapsed="false">
      <c r="A53" s="2" t="s">
        <v>14</v>
      </c>
      <c r="B53" s="2" t="n">
        <v>32</v>
      </c>
      <c r="C53" s="2" t="n">
        <v>29</v>
      </c>
      <c r="D53" s="2" t="n">
        <v>104944</v>
      </c>
      <c r="E53" s="2" t="n">
        <v>758</v>
      </c>
      <c r="F53" s="2" t="n">
        <v>885989</v>
      </c>
      <c r="G53" s="2" t="n">
        <v>7224</v>
      </c>
      <c r="H53" s="2" t="s">
        <v>7</v>
      </c>
    </row>
    <row r="54" customFormat="false" ht="15" hidden="false" customHeight="false" outlineLevel="0" collapsed="false">
      <c r="A54" s="2" t="s">
        <v>14</v>
      </c>
      <c r="B54" s="2" t="n">
        <v>33</v>
      </c>
      <c r="C54" s="2" t="n">
        <v>24</v>
      </c>
      <c r="D54" s="2" t="n">
        <v>17050</v>
      </c>
      <c r="E54" s="2" t="n">
        <v>789</v>
      </c>
      <c r="F54" s="2" t="n">
        <v>1141352</v>
      </c>
      <c r="G54" s="2" t="n">
        <v>13598</v>
      </c>
      <c r="H54" s="2" t="s">
        <v>8</v>
      </c>
    </row>
    <row r="55" customFormat="false" ht="15" hidden="false" customHeight="false" outlineLevel="0" collapsed="false">
      <c r="A55" s="2" t="s">
        <v>14</v>
      </c>
      <c r="B55" s="2" t="n">
        <v>34</v>
      </c>
      <c r="C55" s="2" t="n">
        <v>42</v>
      </c>
      <c r="D55" s="2" t="n">
        <v>94644</v>
      </c>
      <c r="E55" s="2" t="n">
        <v>545</v>
      </c>
      <c r="F55" s="2" t="n">
        <v>1010713</v>
      </c>
      <c r="G55" s="2" t="n">
        <v>4290</v>
      </c>
      <c r="H55" s="2" t="s">
        <v>7</v>
      </c>
    </row>
    <row r="56" customFormat="false" ht="15" hidden="false" customHeight="false" outlineLevel="0" collapsed="false">
      <c r="A56" s="2" t="s">
        <v>14</v>
      </c>
      <c r="B56" s="2" t="n">
        <v>35</v>
      </c>
      <c r="C56" s="2" t="n">
        <v>55</v>
      </c>
      <c r="D56" s="2" t="n">
        <v>66740</v>
      </c>
      <c r="E56" s="2" t="n">
        <v>651</v>
      </c>
      <c r="F56" s="2" t="n">
        <v>538997</v>
      </c>
      <c r="G56" s="2" t="n">
        <v>25630</v>
      </c>
      <c r="H56" s="2" t="s">
        <v>7</v>
      </c>
    </row>
    <row r="57" customFormat="false" ht="15" hidden="false" customHeight="false" outlineLevel="0" collapsed="false">
      <c r="A57" s="2" t="s">
        <v>14</v>
      </c>
      <c r="B57" s="2" t="n">
        <v>36</v>
      </c>
      <c r="C57" s="2" t="n">
        <v>23</v>
      </c>
      <c r="D57" s="2" t="n">
        <v>90543</v>
      </c>
      <c r="E57" s="2" t="n">
        <v>543</v>
      </c>
      <c r="F57" s="2" t="n">
        <v>1745784</v>
      </c>
      <c r="G57" s="2" t="n">
        <v>23303</v>
      </c>
      <c r="H57" s="2" t="s">
        <v>7</v>
      </c>
    </row>
    <row r="58" customFormat="false" ht="15" hidden="false" customHeight="false" outlineLevel="0" collapsed="false">
      <c r="A58" s="2" t="s">
        <v>14</v>
      </c>
      <c r="B58" s="2" t="n">
        <v>37</v>
      </c>
      <c r="C58" s="2" t="n">
        <v>54</v>
      </c>
      <c r="D58" s="2" t="n">
        <v>84646</v>
      </c>
      <c r="E58" s="2" t="n">
        <v>698</v>
      </c>
      <c r="F58" s="2" t="n">
        <v>665070</v>
      </c>
      <c r="G58" s="2" t="n">
        <v>24250</v>
      </c>
      <c r="H58" s="2" t="s">
        <v>7</v>
      </c>
    </row>
    <row r="59" customFormat="false" ht="15" hidden="false" customHeight="false" outlineLevel="0" collapsed="false">
      <c r="A59" s="2" t="s">
        <v>14</v>
      </c>
      <c r="B59" s="2" t="n">
        <v>38</v>
      </c>
      <c r="C59" s="2" t="n">
        <v>53</v>
      </c>
      <c r="D59" s="2" t="n">
        <v>60369</v>
      </c>
      <c r="E59" s="2" t="n">
        <v>824</v>
      </c>
      <c r="F59" s="2" t="n">
        <v>812503</v>
      </c>
      <c r="G59" s="2" t="n">
        <v>5946</v>
      </c>
      <c r="H59" s="2" t="s">
        <v>7</v>
      </c>
    </row>
    <row r="60" customFormat="false" ht="15" hidden="false" customHeight="false" outlineLevel="0" collapsed="false">
      <c r="A60" s="2" t="s">
        <v>14</v>
      </c>
      <c r="B60" s="2" t="n">
        <v>39</v>
      </c>
      <c r="C60" s="2" t="n">
        <v>31</v>
      </c>
      <c r="D60" s="2" t="n">
        <v>47410</v>
      </c>
      <c r="E60" s="2" t="n">
        <v>528</v>
      </c>
      <c r="F60" s="2" t="n">
        <v>2002604</v>
      </c>
      <c r="G60" s="2" t="n">
        <v>437</v>
      </c>
      <c r="H60" s="2" t="s">
        <v>8</v>
      </c>
    </row>
    <row r="61" customFormat="false" ht="15" hidden="false" customHeight="false" outlineLevel="0" collapsed="false">
      <c r="A61" s="2" t="s">
        <v>14</v>
      </c>
      <c r="B61" s="2" t="n">
        <v>40</v>
      </c>
      <c r="C61" s="2" t="n">
        <v>45</v>
      </c>
      <c r="D61" s="2" t="n">
        <v>80867</v>
      </c>
      <c r="E61" s="2" t="n">
        <v>639</v>
      </c>
      <c r="F61" s="2" t="n">
        <v>2377259</v>
      </c>
      <c r="G61" s="2" t="n">
        <v>27319</v>
      </c>
      <c r="H61" s="2" t="s">
        <v>7</v>
      </c>
    </row>
    <row r="62" customFormat="false" ht="15" hidden="false" customHeight="false" outlineLevel="0" collapsed="false">
      <c r="A62" s="2" t="s">
        <v>14</v>
      </c>
      <c r="B62" s="2" t="n">
        <v>41</v>
      </c>
      <c r="C62" s="2" t="n">
        <v>27</v>
      </c>
      <c r="D62" s="2" t="n">
        <v>29723</v>
      </c>
      <c r="E62" s="2" t="n">
        <v>840</v>
      </c>
      <c r="F62" s="2" t="n">
        <v>1710023</v>
      </c>
      <c r="G62" s="2" t="n">
        <v>8667</v>
      </c>
      <c r="H62" s="2" t="s">
        <v>7</v>
      </c>
    </row>
    <row r="63" customFormat="false" ht="15" hidden="false" customHeight="false" outlineLevel="0" collapsed="false">
      <c r="A63" s="2" t="s">
        <v>14</v>
      </c>
      <c r="B63" s="2" t="n">
        <v>42</v>
      </c>
      <c r="C63" s="2" t="n">
        <v>50</v>
      </c>
      <c r="D63" s="2" t="n">
        <v>76330</v>
      </c>
      <c r="E63" s="2" t="n">
        <v>605</v>
      </c>
      <c r="F63" s="2" t="n">
        <v>2299235</v>
      </c>
      <c r="G63" s="2" t="n">
        <v>19688</v>
      </c>
      <c r="H63" s="2" t="s">
        <v>7</v>
      </c>
    </row>
    <row r="64" customFormat="false" ht="15" hidden="false" customHeight="false" outlineLevel="0" collapsed="false">
      <c r="A64" s="2" t="s">
        <v>14</v>
      </c>
      <c r="B64" s="2" t="n">
        <v>43</v>
      </c>
      <c r="C64" s="2" t="n">
        <v>48</v>
      </c>
      <c r="D64" s="2" t="n">
        <v>24942</v>
      </c>
      <c r="E64" s="2" t="n">
        <v>546</v>
      </c>
      <c r="F64" s="2" t="n">
        <v>2150057</v>
      </c>
      <c r="G64" s="2" t="n">
        <v>27283</v>
      </c>
      <c r="H64" s="2" t="s">
        <v>8</v>
      </c>
    </row>
    <row r="65" customFormat="false" ht="15" hidden="false" customHeight="false" outlineLevel="0" collapsed="false">
      <c r="A65" s="2" t="s">
        <v>14</v>
      </c>
      <c r="B65" s="2" t="n">
        <v>44</v>
      </c>
      <c r="C65" s="2" t="n">
        <v>34</v>
      </c>
      <c r="D65" s="2" t="n">
        <v>83233</v>
      </c>
      <c r="E65" s="2" t="n">
        <v>671</v>
      </c>
      <c r="F65" s="2" t="n">
        <v>1254185</v>
      </c>
      <c r="G65" s="2" t="n">
        <v>1084</v>
      </c>
      <c r="H65" s="2" t="s">
        <v>7</v>
      </c>
    </row>
    <row r="66" customFormat="false" ht="15" hidden="false" customHeight="false" outlineLevel="0" collapsed="false">
      <c r="A66" s="2" t="s">
        <v>14</v>
      </c>
      <c r="B66" s="2" t="n">
        <v>45</v>
      </c>
      <c r="C66" s="2" t="n">
        <v>23</v>
      </c>
      <c r="D66" s="2" t="n">
        <v>81018</v>
      </c>
      <c r="E66" s="2" t="n">
        <v>677</v>
      </c>
      <c r="F66" s="2" t="n">
        <v>1948696</v>
      </c>
      <c r="G66" s="2" t="n">
        <v>164</v>
      </c>
      <c r="H66" s="2" t="s">
        <v>7</v>
      </c>
    </row>
    <row r="67" customFormat="false" ht="15" hidden="false" customHeight="false" outlineLevel="0" collapsed="false">
      <c r="A67" s="2" t="s">
        <v>14</v>
      </c>
      <c r="B67" s="2" t="n">
        <v>46</v>
      </c>
      <c r="C67" s="2" t="n">
        <v>58</v>
      </c>
      <c r="D67" s="2" t="n">
        <v>23866</v>
      </c>
      <c r="E67" s="2" t="n">
        <v>732</v>
      </c>
      <c r="F67" s="2" t="n">
        <v>888066</v>
      </c>
      <c r="G67" s="2" t="n">
        <v>162</v>
      </c>
      <c r="H67" s="2" t="s">
        <v>7</v>
      </c>
    </row>
    <row r="68" customFormat="false" ht="15" hidden="false" customHeight="false" outlineLevel="0" collapsed="false">
      <c r="A68" s="2" t="s">
        <v>14</v>
      </c>
      <c r="B68" s="2" t="n">
        <v>47</v>
      </c>
      <c r="C68" s="2" t="n">
        <v>38</v>
      </c>
      <c r="D68" s="2" t="n">
        <v>94536</v>
      </c>
      <c r="E68" s="2" t="n">
        <v>609</v>
      </c>
      <c r="F68" s="2" t="n">
        <v>1205192</v>
      </c>
      <c r="G68" s="2" t="n">
        <v>4689</v>
      </c>
      <c r="H68" s="2" t="s">
        <v>7</v>
      </c>
    </row>
    <row r="69" customFormat="false" ht="15" hidden="false" customHeight="false" outlineLevel="0" collapsed="false">
      <c r="A69" s="2" t="s">
        <v>14</v>
      </c>
      <c r="B69" s="2" t="n">
        <v>48</v>
      </c>
      <c r="C69" s="2" t="n">
        <v>55</v>
      </c>
      <c r="D69" s="2" t="n">
        <v>58659</v>
      </c>
      <c r="E69" s="2" t="n">
        <v>834</v>
      </c>
      <c r="F69" s="2" t="n">
        <v>1385043</v>
      </c>
      <c r="G69" s="2" t="n">
        <v>1549</v>
      </c>
      <c r="H69" s="2" t="s">
        <v>7</v>
      </c>
    </row>
    <row r="70" customFormat="false" ht="15" hidden="false" customHeight="false" outlineLevel="0" collapsed="false">
      <c r="A70" s="2" t="s">
        <v>14</v>
      </c>
      <c r="B70" s="2" t="n">
        <v>49</v>
      </c>
      <c r="C70" s="2" t="n">
        <v>47</v>
      </c>
      <c r="D70" s="2" t="n">
        <v>97623</v>
      </c>
      <c r="E70" s="2" t="n">
        <v>682</v>
      </c>
      <c r="F70" s="2" t="n">
        <v>2405183</v>
      </c>
      <c r="G70" s="2" t="n">
        <v>24599</v>
      </c>
      <c r="H70" s="2" t="s">
        <v>7</v>
      </c>
    </row>
    <row r="71" customFormat="false" ht="15" hidden="false" customHeight="false" outlineLevel="0" collapsed="false">
      <c r="A71" s="2" t="s">
        <v>14</v>
      </c>
      <c r="B71" s="2" t="n">
        <v>50</v>
      </c>
      <c r="C71" s="2" t="n">
        <v>51</v>
      </c>
      <c r="D71" s="2" t="n">
        <v>19369</v>
      </c>
      <c r="E71" s="2" t="n">
        <v>600</v>
      </c>
      <c r="F71" s="2" t="n">
        <v>2136545</v>
      </c>
      <c r="G71" s="2" t="n">
        <v>18177</v>
      </c>
      <c r="H71" s="2" t="s">
        <v>8</v>
      </c>
    </row>
    <row r="72" customFormat="false" ht="15" hidden="false" customHeight="false" outlineLevel="0" collapsed="false">
      <c r="A72" s="2" t="s">
        <v>14</v>
      </c>
      <c r="B72" s="2" t="n">
        <v>51</v>
      </c>
      <c r="C72" s="2" t="n">
        <v>50</v>
      </c>
      <c r="D72" s="2" t="n">
        <v>33842</v>
      </c>
      <c r="E72" s="2" t="n">
        <v>836</v>
      </c>
      <c r="F72" s="2" t="n">
        <v>1274207</v>
      </c>
      <c r="G72" s="2" t="n">
        <v>29401</v>
      </c>
      <c r="H72" s="2" t="s">
        <v>7</v>
      </c>
    </row>
    <row r="73" customFormat="false" ht="15" hidden="false" customHeight="false" outlineLevel="0" collapsed="false">
      <c r="A73" s="2" t="s">
        <v>14</v>
      </c>
      <c r="B73" s="2" t="n">
        <v>52</v>
      </c>
      <c r="C73" s="2" t="n">
        <v>28</v>
      </c>
      <c r="D73" s="2" t="n">
        <v>66869</v>
      </c>
      <c r="E73" s="2" t="n">
        <v>823</v>
      </c>
      <c r="F73" s="2" t="n">
        <v>1666209</v>
      </c>
      <c r="G73" s="2" t="n">
        <v>24044</v>
      </c>
      <c r="H73" s="2" t="s">
        <v>7</v>
      </c>
    </row>
    <row r="74" customFormat="false" ht="15" hidden="false" customHeight="false" outlineLevel="0" collapsed="false">
      <c r="A74" s="2" t="s">
        <v>14</v>
      </c>
      <c r="B74" s="2" t="n">
        <v>53</v>
      </c>
      <c r="C74" s="2" t="n">
        <v>35</v>
      </c>
      <c r="D74" s="2" t="n">
        <v>34763</v>
      </c>
      <c r="E74" s="2" t="n">
        <v>674</v>
      </c>
      <c r="F74" s="2" t="n">
        <v>585655</v>
      </c>
      <c r="G74" s="2" t="n">
        <v>28895</v>
      </c>
      <c r="H74" s="2" t="s">
        <v>7</v>
      </c>
    </row>
    <row r="75" customFormat="false" ht="15" hidden="false" customHeight="false" outlineLevel="0" collapsed="false">
      <c r="A75" s="2" t="s">
        <v>14</v>
      </c>
      <c r="B75" s="2" t="n">
        <v>54</v>
      </c>
      <c r="C75" s="2" t="n">
        <v>39</v>
      </c>
      <c r="D75" s="2" t="n">
        <v>49635</v>
      </c>
      <c r="E75" s="2" t="n">
        <v>508</v>
      </c>
      <c r="F75" s="2" t="n">
        <v>2030540</v>
      </c>
      <c r="G75" s="2" t="n">
        <v>7156</v>
      </c>
      <c r="H75" s="2" t="s">
        <v>8</v>
      </c>
    </row>
    <row r="76" customFormat="false" ht="15" hidden="false" customHeight="false" outlineLevel="0" collapsed="false">
      <c r="A76" s="2" t="s">
        <v>14</v>
      </c>
      <c r="B76" s="2" t="n">
        <v>55</v>
      </c>
      <c r="C76" s="2" t="n">
        <v>40</v>
      </c>
      <c r="D76" s="2" t="n">
        <v>84362</v>
      </c>
      <c r="E76" s="2" t="n">
        <v>708</v>
      </c>
      <c r="F76" s="2" t="n">
        <v>1427291</v>
      </c>
      <c r="G76" s="2" t="n">
        <v>8633</v>
      </c>
      <c r="H76" s="2" t="s">
        <v>7</v>
      </c>
    </row>
    <row r="77" customFormat="false" ht="15" hidden="false" customHeight="false" outlineLevel="0" collapsed="false">
      <c r="A77" s="2" t="s">
        <v>14</v>
      </c>
      <c r="B77" s="2" t="n">
        <v>56</v>
      </c>
      <c r="C77" s="2" t="n">
        <v>22</v>
      </c>
      <c r="D77" s="2" t="n">
        <v>30175</v>
      </c>
      <c r="E77" s="2" t="n">
        <v>694</v>
      </c>
      <c r="F77" s="2" t="n">
        <v>1378533</v>
      </c>
      <c r="G77" s="2" t="n">
        <v>25482</v>
      </c>
      <c r="H77" s="2" t="s">
        <v>8</v>
      </c>
    </row>
    <row r="78" customFormat="false" ht="15" hidden="false" customHeight="false" outlineLevel="0" collapsed="false">
      <c r="A78" s="2" t="s">
        <v>14</v>
      </c>
      <c r="B78" s="2" t="n">
        <v>57</v>
      </c>
      <c r="C78" s="2" t="n">
        <v>42</v>
      </c>
      <c r="D78" s="2" t="n">
        <v>86158</v>
      </c>
      <c r="E78" s="2" t="n">
        <v>551</v>
      </c>
      <c r="F78" s="2" t="n">
        <v>1939080</v>
      </c>
      <c r="G78" s="2" t="n">
        <v>7346</v>
      </c>
      <c r="H78" s="2" t="s">
        <v>7</v>
      </c>
    </row>
    <row r="79" customFormat="false" ht="15" hidden="false" customHeight="false" outlineLevel="0" collapsed="false">
      <c r="A79" s="2" t="s">
        <v>14</v>
      </c>
      <c r="B79" s="2" t="n">
        <v>58</v>
      </c>
      <c r="C79" s="2" t="n">
        <v>27</v>
      </c>
      <c r="D79" s="2" t="n">
        <v>25857</v>
      </c>
      <c r="E79" s="2" t="n">
        <v>721</v>
      </c>
      <c r="F79" s="2" t="n">
        <v>1619002</v>
      </c>
      <c r="G79" s="2" t="n">
        <v>1716</v>
      </c>
      <c r="H79" s="2" t="s">
        <v>8</v>
      </c>
    </row>
    <row r="80" customFormat="false" ht="15" hidden="false" customHeight="false" outlineLevel="0" collapsed="false">
      <c r="A80" s="2" t="s">
        <v>14</v>
      </c>
      <c r="B80" s="2" t="n">
        <v>59</v>
      </c>
      <c r="C80" s="2" t="n">
        <v>49</v>
      </c>
      <c r="D80" s="2" t="n">
        <v>33394</v>
      </c>
      <c r="E80" s="2" t="n">
        <v>794</v>
      </c>
      <c r="F80" s="2" t="n">
        <v>273920</v>
      </c>
      <c r="G80" s="2" t="n">
        <v>20073</v>
      </c>
      <c r="H80" s="2" t="s">
        <v>7</v>
      </c>
    </row>
    <row r="81" customFormat="false" ht="15" hidden="false" customHeight="false" outlineLevel="0" collapsed="false">
      <c r="A81" s="2" t="s">
        <v>14</v>
      </c>
      <c r="B81" s="2" t="n">
        <v>60</v>
      </c>
      <c r="C81" s="2" t="n">
        <v>47</v>
      </c>
      <c r="D81" s="2" t="n">
        <v>76702</v>
      </c>
      <c r="E81" s="2" t="n">
        <v>537</v>
      </c>
      <c r="F81" s="2" t="n">
        <v>791573</v>
      </c>
      <c r="G81" s="2" t="n">
        <v>24028</v>
      </c>
      <c r="H81" s="2" t="s">
        <v>8</v>
      </c>
    </row>
    <row r="82" customFormat="false" ht="15" hidden="false" customHeight="false" outlineLevel="0" collapsed="false">
      <c r="A82" s="2" t="s">
        <v>14</v>
      </c>
      <c r="B82" s="2" t="n">
        <v>61</v>
      </c>
      <c r="C82" s="2" t="n">
        <v>56</v>
      </c>
      <c r="D82" s="2" t="n">
        <v>98315</v>
      </c>
      <c r="E82" s="2" t="n">
        <v>753</v>
      </c>
      <c r="F82" s="2" t="n">
        <v>524125</v>
      </c>
      <c r="G82" s="2" t="n">
        <v>29045</v>
      </c>
      <c r="H82" s="2" t="s">
        <v>7</v>
      </c>
    </row>
    <row r="83" customFormat="false" ht="15" hidden="false" customHeight="false" outlineLevel="0" collapsed="false">
      <c r="A83" s="2" t="s">
        <v>14</v>
      </c>
      <c r="B83" s="2" t="n">
        <v>62</v>
      </c>
      <c r="C83" s="2" t="n">
        <v>50</v>
      </c>
      <c r="D83" s="2" t="n">
        <v>32912</v>
      </c>
      <c r="E83" s="2" t="n">
        <v>549</v>
      </c>
      <c r="F83" s="2" t="n">
        <v>1863743</v>
      </c>
      <c r="G83" s="2" t="n">
        <v>27833</v>
      </c>
      <c r="H83" s="2" t="s">
        <v>8</v>
      </c>
    </row>
    <row r="84" customFormat="false" ht="15" hidden="false" customHeight="false" outlineLevel="0" collapsed="false">
      <c r="A84" s="2" t="s">
        <v>14</v>
      </c>
      <c r="B84" s="2" t="n">
        <v>63</v>
      </c>
      <c r="C84" s="2" t="n">
        <v>35</v>
      </c>
      <c r="D84" s="2" t="n">
        <v>46499</v>
      </c>
      <c r="E84" s="2" t="n">
        <v>762</v>
      </c>
      <c r="F84" s="2" t="n">
        <v>184353</v>
      </c>
      <c r="G84" s="2" t="n">
        <v>3606</v>
      </c>
      <c r="H84" s="2" t="s">
        <v>7</v>
      </c>
    </row>
    <row r="85" customFormat="false" ht="15" hidden="false" customHeight="false" outlineLevel="0" collapsed="false">
      <c r="A85" s="2" t="s">
        <v>14</v>
      </c>
      <c r="B85" s="2" t="n">
        <v>64</v>
      </c>
      <c r="C85" s="2" t="n">
        <v>58</v>
      </c>
      <c r="D85" s="2" t="n">
        <v>112137</v>
      </c>
      <c r="E85" s="2" t="n">
        <v>646</v>
      </c>
      <c r="F85" s="2" t="n">
        <v>585771</v>
      </c>
      <c r="G85" s="2" t="n">
        <v>23163</v>
      </c>
      <c r="H85" s="2" t="s">
        <v>7</v>
      </c>
    </row>
    <row r="86" customFormat="false" ht="15" hidden="false" customHeight="false" outlineLevel="0" collapsed="false">
      <c r="A86" s="2" t="s">
        <v>14</v>
      </c>
      <c r="B86" s="2" t="n">
        <v>65</v>
      </c>
      <c r="C86" s="2" t="n">
        <v>37</v>
      </c>
      <c r="D86" s="2" t="n">
        <v>118916</v>
      </c>
      <c r="E86" s="2" t="n">
        <v>502</v>
      </c>
      <c r="F86" s="2" t="n">
        <v>1533868</v>
      </c>
      <c r="G86" s="2" t="n">
        <v>25383</v>
      </c>
      <c r="H86" s="2" t="s">
        <v>7</v>
      </c>
    </row>
    <row r="87" customFormat="false" ht="15" hidden="false" customHeight="false" outlineLevel="0" collapsed="false">
      <c r="A87" s="2" t="s">
        <v>14</v>
      </c>
      <c r="B87" s="2" t="n">
        <v>66</v>
      </c>
      <c r="C87" s="2" t="n">
        <v>33</v>
      </c>
      <c r="D87" s="2" t="n">
        <v>76011</v>
      </c>
      <c r="E87" s="2" t="n">
        <v>838</v>
      </c>
      <c r="F87" s="2" t="n">
        <v>1767515</v>
      </c>
      <c r="G87" s="2" t="n">
        <v>20943</v>
      </c>
      <c r="H87" s="2" t="s">
        <v>7</v>
      </c>
    </row>
    <row r="88" customFormat="false" ht="15" hidden="false" customHeight="false" outlineLevel="0" collapsed="false">
      <c r="A88" s="2" t="s">
        <v>14</v>
      </c>
      <c r="B88" s="2" t="n">
        <v>67</v>
      </c>
      <c r="C88" s="2" t="n">
        <v>56</v>
      </c>
      <c r="D88" s="2" t="n">
        <v>61939</v>
      </c>
      <c r="E88" s="2" t="n">
        <v>558</v>
      </c>
      <c r="F88" s="2" t="n">
        <v>1307931</v>
      </c>
      <c r="G88" s="2" t="n">
        <v>24593</v>
      </c>
      <c r="H88" s="2" t="s">
        <v>8</v>
      </c>
    </row>
    <row r="89" customFormat="false" ht="15" hidden="false" customHeight="false" outlineLevel="0" collapsed="false">
      <c r="A89" s="2" t="s">
        <v>14</v>
      </c>
      <c r="B89" s="2" t="n">
        <v>68</v>
      </c>
      <c r="C89" s="2" t="n">
        <v>35</v>
      </c>
      <c r="D89" s="2" t="n">
        <v>51421</v>
      </c>
      <c r="E89" s="2" t="n">
        <v>708</v>
      </c>
      <c r="F89" s="2" t="n">
        <v>2165725</v>
      </c>
      <c r="G89" s="2" t="n">
        <v>25139</v>
      </c>
      <c r="H89" s="2" t="s">
        <v>7</v>
      </c>
    </row>
    <row r="90" customFormat="false" ht="15" hidden="false" customHeight="false" outlineLevel="0" collapsed="false">
      <c r="A90" s="2" t="s">
        <v>14</v>
      </c>
      <c r="B90" s="2" t="n">
        <v>69</v>
      </c>
      <c r="C90" s="2" t="n">
        <v>23</v>
      </c>
      <c r="D90" s="2" t="n">
        <v>79307</v>
      </c>
      <c r="E90" s="2" t="n">
        <v>563</v>
      </c>
      <c r="F90" s="2" t="n">
        <v>2305456</v>
      </c>
      <c r="G90" s="2" t="n">
        <v>13396</v>
      </c>
      <c r="H90" s="2" t="s">
        <v>7</v>
      </c>
    </row>
    <row r="91" customFormat="false" ht="15" hidden="false" customHeight="false" outlineLevel="0" collapsed="false">
      <c r="A91" s="2" t="s">
        <v>14</v>
      </c>
      <c r="B91" s="2" t="n">
        <v>70</v>
      </c>
      <c r="C91" s="2" t="n">
        <v>39</v>
      </c>
      <c r="D91" s="2" t="n">
        <v>77046</v>
      </c>
      <c r="E91" s="2" t="n">
        <v>826</v>
      </c>
      <c r="F91" s="2" t="n">
        <v>417046</v>
      </c>
      <c r="G91" s="2" t="n">
        <v>1204</v>
      </c>
      <c r="H91" s="2" t="s">
        <v>7</v>
      </c>
    </row>
    <row r="92" customFormat="false" ht="15" hidden="false" customHeight="false" outlineLevel="0" collapsed="false">
      <c r="A92" s="2" t="s">
        <v>14</v>
      </c>
      <c r="B92" s="2" t="n">
        <v>71</v>
      </c>
      <c r="C92" s="2" t="n">
        <v>52</v>
      </c>
      <c r="D92" s="2" t="n">
        <v>45949</v>
      </c>
      <c r="E92" s="2" t="n">
        <v>758</v>
      </c>
      <c r="F92" s="2" t="n">
        <v>2386026</v>
      </c>
      <c r="G92" s="2" t="n">
        <v>13685</v>
      </c>
      <c r="H92" s="2" t="s">
        <v>7</v>
      </c>
    </row>
    <row r="93" customFormat="false" ht="15" hidden="false" customHeight="false" outlineLevel="0" collapsed="false">
      <c r="A93" s="2" t="s">
        <v>14</v>
      </c>
      <c r="B93" s="2" t="n">
        <v>72</v>
      </c>
      <c r="C93" s="2" t="n">
        <v>28</v>
      </c>
      <c r="D93" s="2" t="n">
        <v>17394</v>
      </c>
      <c r="E93" s="2" t="n">
        <v>781</v>
      </c>
      <c r="F93" s="2" t="n">
        <v>1574511</v>
      </c>
      <c r="G93" s="2" t="n">
        <v>6053</v>
      </c>
      <c r="H93" s="2" t="s">
        <v>8</v>
      </c>
    </row>
    <row r="94" customFormat="false" ht="15" hidden="false" customHeight="false" outlineLevel="0" collapsed="false">
      <c r="A94" s="2" t="s">
        <v>14</v>
      </c>
      <c r="B94" s="2" t="n">
        <v>73</v>
      </c>
      <c r="C94" s="2" t="n">
        <v>39</v>
      </c>
      <c r="D94" s="2" t="n">
        <v>30907</v>
      </c>
      <c r="E94" s="2" t="n">
        <v>651</v>
      </c>
      <c r="F94" s="2" t="n">
        <v>1626925</v>
      </c>
      <c r="G94" s="2" t="n">
        <v>3411</v>
      </c>
      <c r="H94" s="2" t="s">
        <v>8</v>
      </c>
    </row>
    <row r="95" customFormat="false" ht="15" hidden="false" customHeight="false" outlineLevel="0" collapsed="false">
      <c r="A95" s="2" t="s">
        <v>14</v>
      </c>
      <c r="B95" s="2" t="n">
        <v>74</v>
      </c>
      <c r="C95" s="2" t="n">
        <v>26</v>
      </c>
      <c r="D95" s="2" t="n">
        <v>115648</v>
      </c>
      <c r="E95" s="2" t="n">
        <v>663</v>
      </c>
      <c r="F95" s="2" t="n">
        <v>328229</v>
      </c>
      <c r="G95" s="2" t="n">
        <v>3747</v>
      </c>
      <c r="H95" s="2" t="s">
        <v>7</v>
      </c>
    </row>
    <row r="96" customFormat="false" ht="15" hidden="false" customHeight="false" outlineLevel="0" collapsed="false">
      <c r="A96" s="2" t="s">
        <v>14</v>
      </c>
      <c r="B96" s="2" t="n">
        <v>75</v>
      </c>
      <c r="C96" s="2" t="n">
        <v>47</v>
      </c>
      <c r="D96" s="2" t="n">
        <v>58906</v>
      </c>
      <c r="E96" s="2" t="n">
        <v>722</v>
      </c>
      <c r="F96" s="2" t="n">
        <v>1592492</v>
      </c>
      <c r="G96" s="2" t="n">
        <v>20921</v>
      </c>
      <c r="H96" s="2" t="s">
        <v>7</v>
      </c>
    </row>
    <row r="97" customFormat="false" ht="15" hidden="false" customHeight="false" outlineLevel="0" collapsed="false">
      <c r="A97" s="2" t="s">
        <v>14</v>
      </c>
      <c r="B97" s="2" t="n">
        <v>76</v>
      </c>
      <c r="C97" s="2" t="n">
        <v>39</v>
      </c>
      <c r="D97" s="2" t="n">
        <v>65641</v>
      </c>
      <c r="E97" s="2" t="n">
        <v>774</v>
      </c>
      <c r="F97" s="2" t="n">
        <v>1841717</v>
      </c>
      <c r="G97" s="2" t="n">
        <v>15135</v>
      </c>
      <c r="H97" s="2" t="s">
        <v>7</v>
      </c>
    </row>
    <row r="98" customFormat="false" ht="15" hidden="false" customHeight="false" outlineLevel="0" collapsed="false">
      <c r="A98" s="2" t="s">
        <v>14</v>
      </c>
      <c r="B98" s="2" t="n">
        <v>77</v>
      </c>
      <c r="C98" s="2" t="n">
        <v>33</v>
      </c>
      <c r="D98" s="2" t="n">
        <v>64046</v>
      </c>
      <c r="E98" s="2" t="n">
        <v>796</v>
      </c>
      <c r="F98" s="2" t="n">
        <v>1493898</v>
      </c>
      <c r="G98" s="2" t="n">
        <v>16195</v>
      </c>
      <c r="H98" s="2" t="s">
        <v>7</v>
      </c>
    </row>
    <row r="99" customFormat="false" ht="15" hidden="false" customHeight="false" outlineLevel="0" collapsed="false">
      <c r="A99" s="2" t="s">
        <v>14</v>
      </c>
      <c r="B99" s="2" t="n">
        <v>78</v>
      </c>
      <c r="C99" s="2" t="n">
        <v>29</v>
      </c>
      <c r="D99" s="2" t="n">
        <v>97187</v>
      </c>
      <c r="E99" s="2" t="n">
        <v>506</v>
      </c>
      <c r="F99" s="2" t="n">
        <v>302783</v>
      </c>
      <c r="G99" s="2" t="n">
        <v>22355</v>
      </c>
      <c r="H99" s="2" t="s">
        <v>8</v>
      </c>
    </row>
    <row r="100" customFormat="false" ht="15" hidden="false" customHeight="false" outlineLevel="0" collapsed="false">
      <c r="A100" s="2" t="s">
        <v>14</v>
      </c>
      <c r="B100" s="2" t="n">
        <v>79</v>
      </c>
      <c r="C100" s="2" t="n">
        <v>43</v>
      </c>
      <c r="D100" s="2" t="n">
        <v>21820</v>
      </c>
      <c r="E100" s="2" t="n">
        <v>732</v>
      </c>
      <c r="F100" s="2" t="n">
        <v>1355745</v>
      </c>
      <c r="G100" s="2" t="n">
        <v>16448</v>
      </c>
      <c r="H100" s="2" t="s">
        <v>8</v>
      </c>
    </row>
    <row r="101" customFormat="false" ht="15" hidden="false" customHeight="false" outlineLevel="0" collapsed="false">
      <c r="A101" s="2" t="s">
        <v>14</v>
      </c>
      <c r="B101" s="2" t="n">
        <v>80</v>
      </c>
      <c r="C101" s="2" t="n">
        <v>47</v>
      </c>
      <c r="D101" s="2" t="n">
        <v>23686</v>
      </c>
      <c r="E101" s="2" t="n">
        <v>538</v>
      </c>
      <c r="F101" s="2" t="n">
        <v>2346255</v>
      </c>
      <c r="G101" s="2" t="n">
        <v>18900</v>
      </c>
      <c r="H101" s="2" t="s">
        <v>8</v>
      </c>
    </row>
    <row r="102" customFormat="false" ht="15" hidden="false" customHeight="false" outlineLevel="0" collapsed="false">
      <c r="A102" s="2" t="s">
        <v>14</v>
      </c>
      <c r="B102" s="2" t="n">
        <v>81</v>
      </c>
      <c r="C102" s="2" t="n">
        <v>57</v>
      </c>
      <c r="D102" s="2" t="n">
        <v>43963</v>
      </c>
      <c r="E102" s="2" t="n">
        <v>600</v>
      </c>
      <c r="F102" s="2" t="n">
        <v>1836199</v>
      </c>
      <c r="G102" s="2" t="n">
        <v>2580</v>
      </c>
      <c r="H102" s="2" t="s">
        <v>8</v>
      </c>
    </row>
    <row r="103" customFormat="false" ht="15" hidden="false" customHeight="false" outlineLevel="0" collapsed="false">
      <c r="A103" s="2" t="s">
        <v>14</v>
      </c>
      <c r="B103" s="2" t="n">
        <v>82</v>
      </c>
      <c r="C103" s="2" t="n">
        <v>38</v>
      </c>
      <c r="D103" s="2" t="n">
        <v>66099</v>
      </c>
      <c r="E103" s="2" t="n">
        <v>790</v>
      </c>
      <c r="F103" s="2" t="n">
        <v>429779</v>
      </c>
      <c r="G103" s="2" t="n">
        <v>25533</v>
      </c>
      <c r="H103" s="2" t="s">
        <v>7</v>
      </c>
    </row>
    <row r="104" customFormat="false" ht="15" hidden="false" customHeight="false" outlineLevel="0" collapsed="false">
      <c r="A104" s="2" t="s">
        <v>14</v>
      </c>
      <c r="B104" s="2" t="n">
        <v>83</v>
      </c>
      <c r="C104" s="2" t="n">
        <v>27</v>
      </c>
      <c r="D104" s="2" t="n">
        <v>85468</v>
      </c>
      <c r="E104" s="2" t="n">
        <v>587</v>
      </c>
      <c r="F104" s="2" t="n">
        <v>2403852</v>
      </c>
      <c r="G104" s="2" t="n">
        <v>13463</v>
      </c>
      <c r="H104" s="2" t="s">
        <v>8</v>
      </c>
    </row>
    <row r="105" customFormat="false" ht="15" hidden="false" customHeight="false" outlineLevel="0" collapsed="false">
      <c r="A105" s="2" t="s">
        <v>14</v>
      </c>
      <c r="B105" s="2" t="n">
        <v>84</v>
      </c>
      <c r="C105" s="2" t="n">
        <v>53</v>
      </c>
      <c r="D105" s="2" t="n">
        <v>66524</v>
      </c>
      <c r="E105" s="2" t="n">
        <v>778</v>
      </c>
      <c r="F105" s="2" t="n">
        <v>2401312</v>
      </c>
      <c r="G105" s="2" t="n">
        <v>4656</v>
      </c>
      <c r="H105" s="2" t="s">
        <v>7</v>
      </c>
    </row>
    <row r="106" customFormat="false" ht="15" hidden="false" customHeight="false" outlineLevel="0" collapsed="false">
      <c r="A106" s="2" t="s">
        <v>14</v>
      </c>
      <c r="B106" s="2" t="n">
        <v>85</v>
      </c>
      <c r="C106" s="2" t="n">
        <v>45</v>
      </c>
      <c r="D106" s="2" t="n">
        <v>61322</v>
      </c>
      <c r="E106" s="2" t="n">
        <v>662</v>
      </c>
      <c r="F106" s="2" t="n">
        <v>506549</v>
      </c>
      <c r="G106" s="2" t="n">
        <v>24399</v>
      </c>
      <c r="H106" s="2" t="s">
        <v>7</v>
      </c>
    </row>
    <row r="107" customFormat="false" ht="15" hidden="false" customHeight="false" outlineLevel="0" collapsed="false">
      <c r="A107" s="2" t="s">
        <v>14</v>
      </c>
      <c r="B107" s="2" t="n">
        <v>86</v>
      </c>
      <c r="C107" s="2" t="n">
        <v>48</v>
      </c>
      <c r="D107" s="2" t="n">
        <v>113471</v>
      </c>
      <c r="E107" s="2" t="n">
        <v>581</v>
      </c>
      <c r="F107" s="2" t="n">
        <v>2022122</v>
      </c>
      <c r="G107" s="2" t="n">
        <v>22038</v>
      </c>
      <c r="H107" s="2" t="s">
        <v>7</v>
      </c>
    </row>
    <row r="108" customFormat="false" ht="15" hidden="false" customHeight="false" outlineLevel="0" collapsed="false">
      <c r="A108" s="2" t="s">
        <v>14</v>
      </c>
      <c r="B108" s="2" t="n">
        <v>87</v>
      </c>
      <c r="C108" s="2" t="n">
        <v>24</v>
      </c>
      <c r="D108" s="2" t="n">
        <v>31906</v>
      </c>
      <c r="E108" s="2" t="n">
        <v>616</v>
      </c>
      <c r="F108" s="2" t="n">
        <v>1076121</v>
      </c>
      <c r="G108" s="2" t="n">
        <v>1590</v>
      </c>
      <c r="H108" s="2" t="s">
        <v>8</v>
      </c>
    </row>
    <row r="109" customFormat="false" ht="15" hidden="false" customHeight="false" outlineLevel="0" collapsed="false">
      <c r="A109" s="2" t="s">
        <v>14</v>
      </c>
      <c r="B109" s="2" t="n">
        <v>88</v>
      </c>
      <c r="C109" s="2" t="n">
        <v>33</v>
      </c>
      <c r="D109" s="2" t="n">
        <v>75031</v>
      </c>
      <c r="E109" s="2" t="n">
        <v>685</v>
      </c>
      <c r="F109" s="2" t="n">
        <v>1524836</v>
      </c>
      <c r="G109" s="2" t="n">
        <v>5791</v>
      </c>
      <c r="H109" s="2" t="s">
        <v>7</v>
      </c>
    </row>
    <row r="110" customFormat="false" ht="15" hidden="false" customHeight="false" outlineLevel="0" collapsed="false">
      <c r="A110" s="2" t="s">
        <v>14</v>
      </c>
      <c r="B110" s="2" t="n">
        <v>89</v>
      </c>
      <c r="C110" s="2" t="n">
        <v>50</v>
      </c>
      <c r="D110" s="2" t="n">
        <v>71935</v>
      </c>
      <c r="E110" s="2" t="n">
        <v>767</v>
      </c>
      <c r="F110" s="2" t="n">
        <v>1168447</v>
      </c>
      <c r="G110" s="2" t="n">
        <v>472</v>
      </c>
      <c r="H110" s="2" t="s">
        <v>7</v>
      </c>
    </row>
    <row r="111" customFormat="false" ht="15" hidden="false" customHeight="false" outlineLevel="0" collapsed="false">
      <c r="A111" s="2" t="s">
        <v>14</v>
      </c>
      <c r="B111" s="2" t="n">
        <v>90</v>
      </c>
      <c r="C111" s="2" t="n">
        <v>53</v>
      </c>
      <c r="D111" s="2" t="n">
        <v>64716</v>
      </c>
      <c r="E111" s="2" t="n">
        <v>712</v>
      </c>
      <c r="F111" s="2" t="n">
        <v>1978297</v>
      </c>
      <c r="G111" s="2" t="n">
        <v>8122</v>
      </c>
      <c r="H111" s="2" t="s">
        <v>7</v>
      </c>
    </row>
    <row r="112" customFormat="false" ht="15" hidden="false" customHeight="false" outlineLevel="0" collapsed="false">
      <c r="A112" s="2" t="s">
        <v>14</v>
      </c>
      <c r="B112" s="2" t="n">
        <v>91</v>
      </c>
      <c r="C112" s="2" t="n">
        <v>37</v>
      </c>
      <c r="D112" s="2" t="n">
        <v>99797</v>
      </c>
      <c r="E112" s="2" t="n">
        <v>826</v>
      </c>
      <c r="F112" s="2" t="n">
        <v>2491983</v>
      </c>
      <c r="G112" s="2" t="n">
        <v>2999</v>
      </c>
      <c r="H112" s="2" t="s">
        <v>7</v>
      </c>
    </row>
    <row r="113" customFormat="false" ht="15" hidden="false" customHeight="false" outlineLevel="0" collapsed="false">
      <c r="A113" s="2" t="s">
        <v>14</v>
      </c>
      <c r="B113" s="2" t="n">
        <v>92</v>
      </c>
      <c r="C113" s="2" t="n">
        <v>52</v>
      </c>
      <c r="D113" s="2" t="n">
        <v>43032</v>
      </c>
      <c r="E113" s="2" t="n">
        <v>803</v>
      </c>
      <c r="F113" s="2" t="n">
        <v>2008275</v>
      </c>
      <c r="G113" s="2" t="n">
        <v>21297</v>
      </c>
      <c r="H113" s="2" t="s">
        <v>7</v>
      </c>
    </row>
    <row r="114" customFormat="false" ht="15" hidden="false" customHeight="false" outlineLevel="0" collapsed="false">
      <c r="A114" s="2" t="s">
        <v>14</v>
      </c>
      <c r="B114" s="2" t="n">
        <v>93</v>
      </c>
      <c r="C114" s="2" t="n">
        <v>53</v>
      </c>
      <c r="D114" s="2" t="n">
        <v>115146</v>
      </c>
      <c r="E114" s="2" t="n">
        <v>763</v>
      </c>
      <c r="F114" s="2" t="n">
        <v>2335291</v>
      </c>
      <c r="G114" s="2" t="n">
        <v>15676</v>
      </c>
      <c r="H114" s="2" t="s">
        <v>7</v>
      </c>
    </row>
    <row r="115" customFormat="false" ht="15" hidden="false" customHeight="false" outlineLevel="0" collapsed="false">
      <c r="A115" s="2" t="s">
        <v>14</v>
      </c>
      <c r="B115" s="2" t="n">
        <v>94</v>
      </c>
      <c r="C115" s="2" t="n">
        <v>36</v>
      </c>
      <c r="D115" s="2" t="n">
        <v>49814</v>
      </c>
      <c r="E115" s="2" t="n">
        <v>711</v>
      </c>
      <c r="F115" s="2" t="n">
        <v>2370464</v>
      </c>
      <c r="G115" s="2" t="n">
        <v>29406</v>
      </c>
      <c r="H115" s="2" t="s">
        <v>8</v>
      </c>
    </row>
    <row r="116" customFormat="false" ht="15" hidden="false" customHeight="false" outlineLevel="0" collapsed="false">
      <c r="A116" s="2" t="s">
        <v>14</v>
      </c>
      <c r="B116" s="2" t="n">
        <v>95</v>
      </c>
      <c r="C116" s="2" t="n">
        <v>56</v>
      </c>
      <c r="D116" s="2" t="n">
        <v>72225</v>
      </c>
      <c r="E116" s="2" t="n">
        <v>601</v>
      </c>
      <c r="F116" s="2" t="n">
        <v>316253</v>
      </c>
      <c r="G116" s="2" t="n">
        <v>22482</v>
      </c>
      <c r="H116" s="2" t="s">
        <v>7</v>
      </c>
    </row>
    <row r="117" customFormat="false" ht="15" hidden="false" customHeight="false" outlineLevel="0" collapsed="false">
      <c r="A117" s="2" t="s">
        <v>14</v>
      </c>
      <c r="B117" s="2" t="n">
        <v>96</v>
      </c>
      <c r="C117" s="2" t="n">
        <v>32</v>
      </c>
      <c r="D117" s="2" t="n">
        <v>69670</v>
      </c>
      <c r="E117" s="2" t="n">
        <v>644</v>
      </c>
      <c r="F117" s="2" t="n">
        <v>708120</v>
      </c>
      <c r="G117" s="2" t="n">
        <v>18346</v>
      </c>
      <c r="H117" s="2" t="s">
        <v>7</v>
      </c>
    </row>
    <row r="118" customFormat="false" ht="15" hidden="false" customHeight="false" outlineLevel="0" collapsed="false">
      <c r="A118" s="2" t="s">
        <v>14</v>
      </c>
      <c r="B118" s="2" t="n">
        <v>97</v>
      </c>
      <c r="C118" s="2" t="n">
        <v>30</v>
      </c>
      <c r="D118" s="2" t="n">
        <v>104226</v>
      </c>
      <c r="E118" s="2" t="n">
        <v>541</v>
      </c>
      <c r="F118" s="2" t="n">
        <v>1832455</v>
      </c>
      <c r="G118" s="2" t="n">
        <v>15279</v>
      </c>
      <c r="H118" s="2" t="s">
        <v>7</v>
      </c>
    </row>
    <row r="119" customFormat="false" ht="15" hidden="false" customHeight="false" outlineLevel="0" collapsed="false">
      <c r="A119" s="2" t="s">
        <v>14</v>
      </c>
      <c r="B119" s="2" t="n">
        <v>98</v>
      </c>
      <c r="C119" s="2" t="n">
        <v>47</v>
      </c>
      <c r="D119" s="2" t="n">
        <v>61085</v>
      </c>
      <c r="E119" s="2" t="n">
        <v>630</v>
      </c>
      <c r="F119" s="2" t="n">
        <v>1516182</v>
      </c>
      <c r="G119" s="2" t="n">
        <v>1635</v>
      </c>
      <c r="H119" s="2" t="s">
        <v>7</v>
      </c>
    </row>
    <row r="120" customFormat="false" ht="15" hidden="false" customHeight="false" outlineLevel="0" collapsed="false">
      <c r="A120" s="2" t="s">
        <v>14</v>
      </c>
      <c r="B120" s="2" t="n">
        <v>99</v>
      </c>
      <c r="C120" s="2" t="n">
        <v>45</v>
      </c>
      <c r="D120" s="2" t="n">
        <v>44878</v>
      </c>
      <c r="E120" s="2" t="n">
        <v>824</v>
      </c>
      <c r="F120" s="2" t="n">
        <v>220350</v>
      </c>
      <c r="G120" s="2" t="n">
        <v>2106</v>
      </c>
      <c r="H120" s="2" t="s">
        <v>7</v>
      </c>
    </row>
    <row r="121" customFormat="false" ht="15" hidden="false" customHeight="false" outlineLevel="0" collapsed="false">
      <c r="A121" s="2" t="s">
        <v>14</v>
      </c>
      <c r="B121" s="2" t="n">
        <v>100</v>
      </c>
      <c r="C121" s="2" t="n">
        <v>26</v>
      </c>
      <c r="D121" s="2" t="n">
        <v>17269</v>
      </c>
      <c r="E121" s="2" t="n">
        <v>649</v>
      </c>
      <c r="F121" s="2" t="n">
        <v>328118</v>
      </c>
      <c r="G121" s="2" t="n">
        <v>18489</v>
      </c>
      <c r="H121" s="2" t="s">
        <v>8</v>
      </c>
    </row>
    <row r="122" customFormat="false" ht="15" hidden="false" customHeight="false" outlineLevel="0" collapsed="false">
      <c r="A122" s="2" t="s">
        <v>14</v>
      </c>
      <c r="B122" s="2" t="n">
        <v>101</v>
      </c>
      <c r="C122" s="2" t="n">
        <v>53</v>
      </c>
      <c r="D122" s="2" t="n">
        <v>53186</v>
      </c>
      <c r="E122" s="2" t="n">
        <v>539</v>
      </c>
      <c r="F122" s="2" t="n">
        <v>1349313</v>
      </c>
      <c r="G122" s="2" t="n">
        <v>131</v>
      </c>
      <c r="H122" s="2" t="s">
        <v>8</v>
      </c>
    </row>
    <row r="123" customFormat="false" ht="15" hidden="false" customHeight="false" outlineLevel="0" collapsed="false">
      <c r="A123" s="2" t="s">
        <v>14</v>
      </c>
      <c r="B123" s="2" t="n">
        <v>102</v>
      </c>
      <c r="C123" s="2" t="n">
        <v>28</v>
      </c>
      <c r="D123" s="2" t="n">
        <v>101760</v>
      </c>
      <c r="E123" s="2" t="n">
        <v>728</v>
      </c>
      <c r="F123" s="2" t="n">
        <v>1578797</v>
      </c>
      <c r="G123" s="2" t="n">
        <v>1270</v>
      </c>
      <c r="H123" s="2" t="s">
        <v>7</v>
      </c>
    </row>
    <row r="124" customFormat="false" ht="15" hidden="false" customHeight="false" outlineLevel="0" collapsed="false">
      <c r="A124" s="2" t="s">
        <v>14</v>
      </c>
      <c r="B124" s="2" t="n">
        <v>103</v>
      </c>
      <c r="C124" s="2" t="n">
        <v>52</v>
      </c>
      <c r="D124" s="2" t="n">
        <v>16041</v>
      </c>
      <c r="E124" s="2" t="n">
        <v>836</v>
      </c>
      <c r="F124" s="2" t="n">
        <v>502526</v>
      </c>
      <c r="G124" s="2" t="n">
        <v>6574</v>
      </c>
      <c r="H124" s="2" t="s">
        <v>7</v>
      </c>
    </row>
    <row r="125" customFormat="false" ht="15" hidden="false" customHeight="false" outlineLevel="0" collapsed="false">
      <c r="A125" s="2" t="s">
        <v>14</v>
      </c>
      <c r="B125" s="2" t="n">
        <v>104</v>
      </c>
      <c r="C125" s="2" t="n">
        <v>21</v>
      </c>
      <c r="D125" s="2" t="n">
        <v>109096</v>
      </c>
      <c r="E125" s="2" t="n">
        <v>803</v>
      </c>
      <c r="F125" s="2" t="n">
        <v>511099</v>
      </c>
      <c r="G125" s="2" t="n">
        <v>26524</v>
      </c>
      <c r="H125" s="2" t="s">
        <v>7</v>
      </c>
    </row>
    <row r="126" customFormat="false" ht="15" hidden="false" customHeight="false" outlineLevel="0" collapsed="false">
      <c r="A126" s="2" t="s">
        <v>14</v>
      </c>
      <c r="B126" s="2" t="n">
        <v>105</v>
      </c>
      <c r="C126" s="2" t="n">
        <v>52</v>
      </c>
      <c r="D126" s="2" t="n">
        <v>71996</v>
      </c>
      <c r="E126" s="2" t="n">
        <v>595</v>
      </c>
      <c r="F126" s="2" t="n">
        <v>410416</v>
      </c>
      <c r="G126" s="2" t="n">
        <v>13767</v>
      </c>
      <c r="H126" s="2" t="s">
        <v>7</v>
      </c>
    </row>
    <row r="127" customFormat="false" ht="15" hidden="false" customHeight="false" outlineLevel="0" collapsed="false">
      <c r="A127" s="2" t="s">
        <v>14</v>
      </c>
      <c r="B127" s="2" t="n">
        <v>106</v>
      </c>
      <c r="C127" s="2" t="n">
        <v>51</v>
      </c>
      <c r="D127" s="2" t="n">
        <v>29726</v>
      </c>
      <c r="E127" s="2" t="n">
        <v>658</v>
      </c>
      <c r="F127" s="2" t="n">
        <v>1455881</v>
      </c>
      <c r="G127" s="2" t="n">
        <v>21287</v>
      </c>
      <c r="H127" s="2" t="s">
        <v>8</v>
      </c>
    </row>
    <row r="128" customFormat="false" ht="15" hidden="false" customHeight="false" outlineLevel="0" collapsed="false">
      <c r="A128" s="2" t="s">
        <v>14</v>
      </c>
      <c r="B128" s="2" t="n">
        <v>107</v>
      </c>
      <c r="C128" s="2" t="n">
        <v>51</v>
      </c>
      <c r="D128" s="2" t="n">
        <v>46728</v>
      </c>
      <c r="E128" s="2" t="n">
        <v>685</v>
      </c>
      <c r="F128" s="2" t="n">
        <v>118848</v>
      </c>
      <c r="G128" s="2" t="n">
        <v>12346</v>
      </c>
      <c r="H128" s="2" t="s">
        <v>7</v>
      </c>
    </row>
    <row r="129" customFormat="false" ht="15" hidden="false" customHeight="false" outlineLevel="0" collapsed="false">
      <c r="A129" s="2" t="s">
        <v>14</v>
      </c>
      <c r="B129" s="2" t="n">
        <v>108</v>
      </c>
      <c r="C129" s="2" t="n">
        <v>46</v>
      </c>
      <c r="D129" s="2" t="n">
        <v>73173</v>
      </c>
      <c r="E129" s="2" t="n">
        <v>586</v>
      </c>
      <c r="F129" s="2" t="n">
        <v>1473833</v>
      </c>
      <c r="G129" s="2" t="n">
        <v>5193</v>
      </c>
      <c r="H129" s="2" t="s">
        <v>7</v>
      </c>
    </row>
    <row r="130" customFormat="false" ht="15" hidden="false" customHeight="false" outlineLevel="0" collapsed="false">
      <c r="A130" s="2" t="s">
        <v>14</v>
      </c>
      <c r="B130" s="2" t="n">
        <v>109</v>
      </c>
      <c r="C130" s="2" t="n">
        <v>39</v>
      </c>
      <c r="D130" s="2" t="n">
        <v>48147</v>
      </c>
      <c r="E130" s="2" t="n">
        <v>594</v>
      </c>
      <c r="F130" s="2" t="n">
        <v>1242228</v>
      </c>
      <c r="G130" s="2" t="n">
        <v>11134</v>
      </c>
      <c r="H130" s="2" t="s">
        <v>7</v>
      </c>
    </row>
    <row r="131" customFormat="false" ht="15" hidden="false" customHeight="false" outlineLevel="0" collapsed="false">
      <c r="A131" s="2" t="s">
        <v>14</v>
      </c>
      <c r="B131" s="2" t="n">
        <v>110</v>
      </c>
      <c r="C131" s="2" t="n">
        <v>48</v>
      </c>
      <c r="D131" s="2" t="n">
        <v>26400</v>
      </c>
      <c r="E131" s="2" t="n">
        <v>582</v>
      </c>
      <c r="F131" s="2" t="n">
        <v>1218364</v>
      </c>
      <c r="G131" s="2" t="n">
        <v>2751</v>
      </c>
      <c r="H131" s="2" t="s">
        <v>8</v>
      </c>
    </row>
    <row r="132" customFormat="false" ht="15" hidden="false" customHeight="false" outlineLevel="0" collapsed="false">
      <c r="A132" s="2" t="s">
        <v>14</v>
      </c>
      <c r="B132" s="2" t="n">
        <v>111</v>
      </c>
      <c r="C132" s="2" t="n">
        <v>31</v>
      </c>
      <c r="D132" s="2" t="n">
        <v>84928</v>
      </c>
      <c r="E132" s="2" t="n">
        <v>848</v>
      </c>
      <c r="F132" s="2" t="n">
        <v>1730263</v>
      </c>
      <c r="G132" s="2" t="n">
        <v>23107</v>
      </c>
      <c r="H132" s="2" t="s">
        <v>7</v>
      </c>
    </row>
    <row r="133" customFormat="false" ht="15" hidden="false" customHeight="false" outlineLevel="0" collapsed="false">
      <c r="A133" s="2" t="s">
        <v>14</v>
      </c>
      <c r="B133" s="2" t="n">
        <v>112</v>
      </c>
      <c r="C133" s="2" t="n">
        <v>51</v>
      </c>
      <c r="D133" s="2" t="n">
        <v>85585</v>
      </c>
      <c r="E133" s="2" t="n">
        <v>761</v>
      </c>
      <c r="F133" s="2" t="n">
        <v>1354316</v>
      </c>
      <c r="G133" s="2" t="n">
        <v>5505</v>
      </c>
      <c r="H133" s="2" t="s">
        <v>7</v>
      </c>
    </row>
    <row r="134" customFormat="false" ht="15" hidden="false" customHeight="false" outlineLevel="0" collapsed="false">
      <c r="A134" s="2" t="s">
        <v>14</v>
      </c>
      <c r="B134" s="2" t="n">
        <v>113</v>
      </c>
      <c r="C134" s="2" t="n">
        <v>42</v>
      </c>
      <c r="D134" s="2" t="n">
        <v>27481</v>
      </c>
      <c r="E134" s="2" t="n">
        <v>794</v>
      </c>
      <c r="F134" s="2" t="n">
        <v>1846597</v>
      </c>
      <c r="G134" s="2" t="n">
        <v>11291</v>
      </c>
      <c r="H134" s="2" t="s">
        <v>8</v>
      </c>
    </row>
    <row r="135" customFormat="false" ht="15" hidden="false" customHeight="false" outlineLevel="0" collapsed="false">
      <c r="A135" s="2" t="s">
        <v>14</v>
      </c>
      <c r="B135" s="2" t="n">
        <v>114</v>
      </c>
      <c r="C135" s="2" t="n">
        <v>38</v>
      </c>
      <c r="D135" s="2" t="n">
        <v>44529</v>
      </c>
      <c r="E135" s="2" t="n">
        <v>785</v>
      </c>
      <c r="F135" s="2" t="n">
        <v>1933416</v>
      </c>
      <c r="G135" s="2" t="n">
        <v>29400</v>
      </c>
      <c r="H135" s="2" t="s">
        <v>7</v>
      </c>
    </row>
    <row r="136" customFormat="false" ht="15" hidden="false" customHeight="false" outlineLevel="0" collapsed="false">
      <c r="A136" s="2" t="s">
        <v>14</v>
      </c>
      <c r="B136" s="2" t="n">
        <v>115</v>
      </c>
      <c r="C136" s="2" t="n">
        <v>40</v>
      </c>
      <c r="D136" s="2" t="n">
        <v>40606</v>
      </c>
      <c r="E136" s="2" t="n">
        <v>835</v>
      </c>
      <c r="F136" s="2" t="n">
        <v>2308282</v>
      </c>
      <c r="G136" s="2" t="n">
        <v>17758</v>
      </c>
      <c r="H136" s="2" t="s">
        <v>7</v>
      </c>
    </row>
    <row r="137" customFormat="false" ht="15" hidden="false" customHeight="false" outlineLevel="0" collapsed="false">
      <c r="A137" s="2" t="s">
        <v>14</v>
      </c>
      <c r="B137" s="2" t="n">
        <v>116</v>
      </c>
      <c r="C137" s="2" t="n">
        <v>43</v>
      </c>
      <c r="D137" s="2" t="n">
        <v>84239</v>
      </c>
      <c r="E137" s="2" t="n">
        <v>536</v>
      </c>
      <c r="F137" s="2" t="n">
        <v>2018187</v>
      </c>
      <c r="G137" s="2" t="n">
        <v>13756</v>
      </c>
      <c r="H137" s="2" t="s">
        <v>8</v>
      </c>
    </row>
    <row r="138" customFormat="false" ht="15" hidden="false" customHeight="false" outlineLevel="0" collapsed="false">
      <c r="A138" s="2" t="s">
        <v>14</v>
      </c>
      <c r="B138" s="2" t="n">
        <v>117</v>
      </c>
      <c r="C138" s="2" t="n">
        <v>22</v>
      </c>
      <c r="D138" s="2" t="n">
        <v>91681</v>
      </c>
      <c r="E138" s="2" t="n">
        <v>808</v>
      </c>
      <c r="F138" s="2" t="n">
        <v>1342494</v>
      </c>
      <c r="G138" s="2" t="n">
        <v>16290</v>
      </c>
      <c r="H138" s="2" t="s">
        <v>7</v>
      </c>
    </row>
    <row r="139" customFormat="false" ht="15" hidden="false" customHeight="false" outlineLevel="0" collapsed="false">
      <c r="A139" s="2" t="s">
        <v>14</v>
      </c>
      <c r="B139" s="2" t="n">
        <v>118</v>
      </c>
      <c r="C139" s="2" t="n">
        <v>26</v>
      </c>
      <c r="D139" s="2" t="n">
        <v>91334</v>
      </c>
      <c r="E139" s="2" t="n">
        <v>523</v>
      </c>
      <c r="F139" s="2" t="n">
        <v>1281167</v>
      </c>
      <c r="G139" s="2" t="n">
        <v>23522</v>
      </c>
      <c r="H139" s="2" t="s">
        <v>8</v>
      </c>
    </row>
    <row r="140" customFormat="false" ht="15" hidden="false" customHeight="false" outlineLevel="0" collapsed="false">
      <c r="A140" s="2" t="s">
        <v>14</v>
      </c>
      <c r="B140" s="2" t="n">
        <v>119</v>
      </c>
      <c r="C140" s="2" t="n">
        <v>30</v>
      </c>
      <c r="D140" s="2" t="n">
        <v>113569</v>
      </c>
      <c r="E140" s="2" t="n">
        <v>666</v>
      </c>
      <c r="F140" s="2" t="n">
        <v>665700</v>
      </c>
      <c r="G140" s="2" t="n">
        <v>7634</v>
      </c>
      <c r="H140" s="2" t="s">
        <v>7</v>
      </c>
    </row>
    <row r="141" customFormat="false" ht="15" hidden="false" customHeight="false" outlineLevel="0" collapsed="false">
      <c r="A141" s="2" t="s">
        <v>14</v>
      </c>
      <c r="B141" s="2" t="n">
        <v>120</v>
      </c>
      <c r="C141" s="2" t="n">
        <v>25</v>
      </c>
      <c r="D141" s="2" t="n">
        <v>95707</v>
      </c>
      <c r="E141" s="2" t="n">
        <v>708</v>
      </c>
      <c r="F141" s="2" t="n">
        <v>1539024</v>
      </c>
      <c r="G141" s="2" t="n">
        <v>19092</v>
      </c>
      <c r="H141" s="2" t="s">
        <v>7</v>
      </c>
    </row>
    <row r="142" customFormat="false" ht="15" hidden="false" customHeight="false" outlineLevel="0" collapsed="false">
      <c r="A142" s="2" t="s">
        <v>14</v>
      </c>
      <c r="B142" s="2" t="n">
        <v>121</v>
      </c>
      <c r="C142" s="2" t="n">
        <v>38</v>
      </c>
      <c r="D142" s="2" t="n">
        <v>48671</v>
      </c>
      <c r="E142" s="2" t="n">
        <v>625</v>
      </c>
      <c r="F142" s="2" t="n">
        <v>433925</v>
      </c>
      <c r="G142" s="2" t="n">
        <v>26180</v>
      </c>
      <c r="H142" s="2" t="s">
        <v>8</v>
      </c>
    </row>
    <row r="143" customFormat="false" ht="15" hidden="false" customHeight="false" outlineLevel="0" collapsed="false">
      <c r="A143" s="2" t="s">
        <v>14</v>
      </c>
      <c r="B143" s="2" t="n">
        <v>122</v>
      </c>
      <c r="C143" s="2" t="n">
        <v>47</v>
      </c>
      <c r="D143" s="2" t="n">
        <v>26312</v>
      </c>
      <c r="E143" s="2" t="n">
        <v>551</v>
      </c>
      <c r="F143" s="2" t="n">
        <v>2334966</v>
      </c>
      <c r="G143" s="2" t="n">
        <v>17172</v>
      </c>
      <c r="H143" s="2" t="s">
        <v>8</v>
      </c>
    </row>
    <row r="144" customFormat="false" ht="15" hidden="false" customHeight="false" outlineLevel="0" collapsed="false">
      <c r="A144" s="2" t="s">
        <v>14</v>
      </c>
      <c r="B144" s="2" t="n">
        <v>123</v>
      </c>
      <c r="C144" s="2" t="n">
        <v>46</v>
      </c>
      <c r="D144" s="2" t="n">
        <v>79537</v>
      </c>
      <c r="E144" s="2" t="n">
        <v>567</v>
      </c>
      <c r="F144" s="2" t="n">
        <v>2128106</v>
      </c>
      <c r="G144" s="2" t="n">
        <v>13396</v>
      </c>
      <c r="H144" s="2" t="s">
        <v>8</v>
      </c>
    </row>
    <row r="145" customFormat="false" ht="15" hidden="false" customHeight="false" outlineLevel="0" collapsed="false">
      <c r="A145" s="2" t="s">
        <v>14</v>
      </c>
      <c r="B145" s="2" t="n">
        <v>124</v>
      </c>
      <c r="C145" s="2" t="n">
        <v>39</v>
      </c>
      <c r="D145" s="2" t="n">
        <v>111181</v>
      </c>
      <c r="E145" s="2" t="n">
        <v>788</v>
      </c>
      <c r="F145" s="2" t="n">
        <v>387360</v>
      </c>
      <c r="G145" s="2" t="n">
        <v>4353</v>
      </c>
      <c r="H145" s="2" t="s">
        <v>7</v>
      </c>
    </row>
    <row r="146" customFormat="false" ht="15" hidden="false" customHeight="false" outlineLevel="0" collapsed="false">
      <c r="A146" s="2" t="s">
        <v>14</v>
      </c>
      <c r="B146" s="2" t="n">
        <v>125</v>
      </c>
      <c r="C146" s="2" t="n">
        <v>54</v>
      </c>
      <c r="D146" s="2" t="n">
        <v>117391</v>
      </c>
      <c r="E146" s="2" t="n">
        <v>611</v>
      </c>
      <c r="F146" s="2" t="n">
        <v>1986294</v>
      </c>
      <c r="G146" s="2" t="n">
        <v>7448</v>
      </c>
      <c r="H146" s="2" t="s">
        <v>7</v>
      </c>
    </row>
    <row r="147" customFormat="false" ht="15" hidden="false" customHeight="false" outlineLevel="0" collapsed="false">
      <c r="A147" s="2" t="s">
        <v>14</v>
      </c>
      <c r="B147" s="2" t="n">
        <v>126</v>
      </c>
      <c r="C147" s="2" t="n">
        <v>43</v>
      </c>
      <c r="D147" s="2" t="n">
        <v>39172</v>
      </c>
      <c r="E147" s="2" t="n">
        <v>608</v>
      </c>
      <c r="F147" s="2" t="n">
        <v>381048</v>
      </c>
      <c r="G147" s="2" t="n">
        <v>28380</v>
      </c>
      <c r="H147" s="2" t="s">
        <v>8</v>
      </c>
    </row>
    <row r="148" customFormat="false" ht="15" hidden="false" customHeight="false" outlineLevel="0" collapsed="false">
      <c r="A148" s="2" t="s">
        <v>14</v>
      </c>
      <c r="B148" s="2" t="n">
        <v>127</v>
      </c>
      <c r="C148" s="2" t="n">
        <v>24</v>
      </c>
      <c r="D148" s="2" t="n">
        <v>39827</v>
      </c>
      <c r="E148" s="2" t="n">
        <v>823</v>
      </c>
      <c r="F148" s="2" t="n">
        <v>1830940</v>
      </c>
      <c r="G148" s="2" t="n">
        <v>16237</v>
      </c>
      <c r="H148" s="2" t="s">
        <v>7</v>
      </c>
    </row>
    <row r="149" customFormat="false" ht="15" hidden="false" customHeight="false" outlineLevel="0" collapsed="false">
      <c r="A149" s="2" t="s">
        <v>14</v>
      </c>
      <c r="B149" s="2" t="n">
        <v>128</v>
      </c>
      <c r="C149" s="2" t="n">
        <v>50</v>
      </c>
      <c r="D149" s="2" t="n">
        <v>18928</v>
      </c>
      <c r="E149" s="2" t="n">
        <v>550</v>
      </c>
      <c r="F149" s="2" t="n">
        <v>310501</v>
      </c>
      <c r="G149" s="2" t="n">
        <v>9040</v>
      </c>
      <c r="H149" s="2" t="s">
        <v>8</v>
      </c>
    </row>
    <row r="150" customFormat="false" ht="15" hidden="false" customHeight="false" outlineLevel="0" collapsed="false">
      <c r="A150" s="2" t="s">
        <v>14</v>
      </c>
      <c r="B150" s="2" t="n">
        <v>129</v>
      </c>
      <c r="C150" s="2" t="n">
        <v>43</v>
      </c>
      <c r="D150" s="2" t="n">
        <v>29832</v>
      </c>
      <c r="E150" s="2" t="n">
        <v>820</v>
      </c>
      <c r="F150" s="2" t="n">
        <v>1271664</v>
      </c>
      <c r="G150" s="2" t="n">
        <v>12551</v>
      </c>
      <c r="H150" s="2" t="s">
        <v>7</v>
      </c>
    </row>
    <row r="151" customFormat="false" ht="15" hidden="false" customHeight="false" outlineLevel="0" collapsed="false">
      <c r="A151" s="2" t="s">
        <v>14</v>
      </c>
      <c r="B151" s="2" t="n">
        <v>130</v>
      </c>
      <c r="C151" s="2" t="n">
        <v>45</v>
      </c>
      <c r="D151" s="2" t="n">
        <v>73259</v>
      </c>
      <c r="E151" s="2" t="n">
        <v>822</v>
      </c>
      <c r="F151" s="2" t="n">
        <v>1678871</v>
      </c>
      <c r="G151" s="2" t="n">
        <v>17340</v>
      </c>
      <c r="H151" s="2" t="s">
        <v>7</v>
      </c>
    </row>
    <row r="152" customFormat="false" ht="15" hidden="false" customHeight="false" outlineLevel="0" collapsed="false">
      <c r="A152" s="2" t="s">
        <v>14</v>
      </c>
      <c r="B152" s="2" t="n">
        <v>131</v>
      </c>
      <c r="C152" s="2" t="n">
        <v>43</v>
      </c>
      <c r="D152" s="2" t="n">
        <v>72414</v>
      </c>
      <c r="E152" s="2" t="n">
        <v>709</v>
      </c>
      <c r="F152" s="2" t="n">
        <v>1849146</v>
      </c>
      <c r="G152" s="2" t="n">
        <v>16126</v>
      </c>
      <c r="H152" s="2" t="s">
        <v>7</v>
      </c>
    </row>
    <row r="153" customFormat="false" ht="15" hidden="false" customHeight="false" outlineLevel="0" collapsed="false">
      <c r="A153" s="2" t="s">
        <v>14</v>
      </c>
      <c r="B153" s="2" t="n">
        <v>132</v>
      </c>
      <c r="C153" s="2" t="n">
        <v>42</v>
      </c>
      <c r="D153" s="2" t="n">
        <v>53946</v>
      </c>
      <c r="E153" s="2" t="n">
        <v>557</v>
      </c>
      <c r="F153" s="2" t="n">
        <v>1104659</v>
      </c>
      <c r="G153" s="2" t="n">
        <v>20993</v>
      </c>
      <c r="H153" s="2" t="s">
        <v>8</v>
      </c>
    </row>
    <row r="154" customFormat="false" ht="15" hidden="false" customHeight="false" outlineLevel="0" collapsed="false">
      <c r="A154" s="2" t="s">
        <v>14</v>
      </c>
      <c r="B154" s="2" t="n">
        <v>133</v>
      </c>
      <c r="C154" s="2" t="n">
        <v>24</v>
      </c>
      <c r="D154" s="2" t="n">
        <v>47545</v>
      </c>
      <c r="E154" s="2" t="n">
        <v>554</v>
      </c>
      <c r="F154" s="2" t="n">
        <v>2311896</v>
      </c>
      <c r="G154" s="2" t="n">
        <v>7724</v>
      </c>
      <c r="H154" s="2" t="s">
        <v>8</v>
      </c>
    </row>
    <row r="155" customFormat="false" ht="15" hidden="false" customHeight="false" outlineLevel="0" collapsed="false">
      <c r="A155" s="2" t="s">
        <v>14</v>
      </c>
      <c r="B155" s="2" t="n">
        <v>134</v>
      </c>
      <c r="C155" s="2" t="n">
        <v>42</v>
      </c>
      <c r="D155" s="2" t="n">
        <v>102127</v>
      </c>
      <c r="E155" s="2" t="n">
        <v>599</v>
      </c>
      <c r="F155" s="2" t="n">
        <v>1958371</v>
      </c>
      <c r="G155" s="2" t="n">
        <v>19476</v>
      </c>
      <c r="H155" s="2" t="s">
        <v>7</v>
      </c>
    </row>
    <row r="156" customFormat="false" ht="15" hidden="false" customHeight="false" outlineLevel="0" collapsed="false">
      <c r="A156" s="2" t="s">
        <v>14</v>
      </c>
      <c r="B156" s="2" t="n">
        <v>135</v>
      </c>
      <c r="C156" s="2" t="n">
        <v>52</v>
      </c>
      <c r="D156" s="2" t="n">
        <v>63303</v>
      </c>
      <c r="E156" s="2" t="n">
        <v>702</v>
      </c>
      <c r="F156" s="2" t="n">
        <v>599835</v>
      </c>
      <c r="G156" s="2" t="n">
        <v>13280</v>
      </c>
      <c r="H156" s="2" t="s">
        <v>7</v>
      </c>
    </row>
    <row r="157" customFormat="false" ht="15" hidden="false" customHeight="false" outlineLevel="0" collapsed="false">
      <c r="A157" s="2" t="s">
        <v>14</v>
      </c>
      <c r="B157" s="2" t="n">
        <v>136</v>
      </c>
      <c r="C157" s="2" t="n">
        <v>32</v>
      </c>
      <c r="D157" s="2" t="n">
        <v>99866</v>
      </c>
      <c r="E157" s="2" t="n">
        <v>553</v>
      </c>
      <c r="F157" s="2" t="n">
        <v>1710955</v>
      </c>
      <c r="G157" s="2" t="n">
        <v>28217</v>
      </c>
      <c r="H157" s="2" t="s">
        <v>7</v>
      </c>
    </row>
    <row r="158" customFormat="false" ht="15" hidden="false" customHeight="false" outlineLevel="0" collapsed="false">
      <c r="A158" s="2" t="s">
        <v>14</v>
      </c>
      <c r="B158" s="2" t="n">
        <v>137</v>
      </c>
      <c r="C158" s="2" t="n">
        <v>44</v>
      </c>
      <c r="D158" s="2" t="n">
        <v>116137</v>
      </c>
      <c r="E158" s="2" t="n">
        <v>659</v>
      </c>
      <c r="F158" s="2" t="n">
        <v>1853283</v>
      </c>
      <c r="G158" s="2" t="n">
        <v>4737</v>
      </c>
      <c r="H158" s="2" t="s">
        <v>7</v>
      </c>
    </row>
    <row r="159" customFormat="false" ht="15" hidden="false" customHeight="false" outlineLevel="0" collapsed="false">
      <c r="A159" s="2" t="s">
        <v>14</v>
      </c>
      <c r="B159" s="2" t="n">
        <v>138</v>
      </c>
      <c r="C159" s="2" t="n">
        <v>22</v>
      </c>
      <c r="D159" s="2" t="n">
        <v>48299</v>
      </c>
      <c r="E159" s="2" t="n">
        <v>540</v>
      </c>
      <c r="F159" s="2" t="n">
        <v>900730</v>
      </c>
      <c r="G159" s="2" t="n">
        <v>4453</v>
      </c>
      <c r="H159" s="2" t="s">
        <v>8</v>
      </c>
    </row>
    <row r="160" customFormat="false" ht="15" hidden="false" customHeight="false" outlineLevel="0" collapsed="false">
      <c r="A160" s="2" t="s">
        <v>14</v>
      </c>
      <c r="B160" s="2" t="n">
        <v>139</v>
      </c>
      <c r="C160" s="2" t="n">
        <v>34</v>
      </c>
      <c r="D160" s="2" t="n">
        <v>36287</v>
      </c>
      <c r="E160" s="2" t="n">
        <v>689</v>
      </c>
      <c r="F160" s="2" t="n">
        <v>1871755</v>
      </c>
      <c r="G160" s="2" t="n">
        <v>13849</v>
      </c>
      <c r="H160" s="2" t="s">
        <v>7</v>
      </c>
    </row>
    <row r="161" customFormat="false" ht="15" hidden="false" customHeight="false" outlineLevel="0" collapsed="false">
      <c r="A161" s="2" t="s">
        <v>14</v>
      </c>
      <c r="B161" s="2" t="n">
        <v>140</v>
      </c>
      <c r="C161" s="2" t="n">
        <v>38</v>
      </c>
      <c r="D161" s="2" t="n">
        <v>115054</v>
      </c>
      <c r="E161" s="2" t="n">
        <v>507</v>
      </c>
      <c r="F161" s="2" t="n">
        <v>2256079</v>
      </c>
      <c r="G161" s="2" t="n">
        <v>15250</v>
      </c>
      <c r="H161" s="2" t="s">
        <v>7</v>
      </c>
    </row>
    <row r="162" customFormat="false" ht="15" hidden="false" customHeight="false" outlineLevel="0" collapsed="false">
      <c r="A162" s="2" t="s">
        <v>14</v>
      </c>
      <c r="B162" s="2" t="n">
        <v>141</v>
      </c>
      <c r="C162" s="2" t="n">
        <v>59</v>
      </c>
      <c r="D162" s="2" t="n">
        <v>81657</v>
      </c>
      <c r="E162" s="2" t="n">
        <v>748</v>
      </c>
      <c r="F162" s="2" t="n">
        <v>2061074</v>
      </c>
      <c r="G162" s="2" t="n">
        <v>20726</v>
      </c>
      <c r="H162" s="2" t="s">
        <v>7</v>
      </c>
    </row>
    <row r="163" customFormat="false" ht="15" hidden="false" customHeight="false" outlineLevel="0" collapsed="false">
      <c r="A163" s="2" t="s">
        <v>14</v>
      </c>
      <c r="B163" s="2" t="n">
        <v>142</v>
      </c>
      <c r="C163" s="2" t="n">
        <v>29</v>
      </c>
      <c r="D163" s="2" t="n">
        <v>45546</v>
      </c>
      <c r="E163" s="2" t="n">
        <v>519</v>
      </c>
      <c r="F163" s="2" t="n">
        <v>1930077</v>
      </c>
      <c r="G163" s="2" t="n">
        <v>12121</v>
      </c>
      <c r="H163" s="2" t="s">
        <v>8</v>
      </c>
    </row>
    <row r="164" customFormat="false" ht="15" hidden="false" customHeight="false" outlineLevel="0" collapsed="false">
      <c r="A164" s="2" t="s">
        <v>14</v>
      </c>
      <c r="B164" s="2" t="n">
        <v>143</v>
      </c>
      <c r="C164" s="2" t="n">
        <v>31</v>
      </c>
      <c r="D164" s="2" t="n">
        <v>80295</v>
      </c>
      <c r="E164" s="2" t="n">
        <v>568</v>
      </c>
      <c r="F164" s="2" t="n">
        <v>1622793</v>
      </c>
      <c r="G164" s="2" t="n">
        <v>27411</v>
      </c>
      <c r="H164" s="2" t="s">
        <v>8</v>
      </c>
    </row>
    <row r="165" customFormat="false" ht="15" hidden="false" customHeight="false" outlineLevel="0" collapsed="false">
      <c r="A165" s="2" t="s">
        <v>14</v>
      </c>
      <c r="B165" s="2" t="n">
        <v>144</v>
      </c>
      <c r="C165" s="2" t="n">
        <v>36</v>
      </c>
      <c r="D165" s="2" t="n">
        <v>69080</v>
      </c>
      <c r="E165" s="2" t="n">
        <v>561</v>
      </c>
      <c r="F165" s="2" t="n">
        <v>749283</v>
      </c>
      <c r="G165" s="2" t="n">
        <v>14225</v>
      </c>
      <c r="H165" s="2" t="s">
        <v>7</v>
      </c>
    </row>
    <row r="166" customFormat="false" ht="15" hidden="false" customHeight="false" outlineLevel="0" collapsed="false">
      <c r="A166" s="2" t="s">
        <v>14</v>
      </c>
      <c r="B166" s="2" t="n">
        <v>145</v>
      </c>
      <c r="C166" s="2" t="n">
        <v>59</v>
      </c>
      <c r="D166" s="2" t="n">
        <v>110080</v>
      </c>
      <c r="E166" s="2" t="n">
        <v>790</v>
      </c>
      <c r="F166" s="2" t="n">
        <v>2008535</v>
      </c>
      <c r="G166" s="2" t="n">
        <v>3880</v>
      </c>
      <c r="H166" s="2" t="s">
        <v>7</v>
      </c>
    </row>
    <row r="167" customFormat="false" ht="15" hidden="false" customHeight="false" outlineLevel="0" collapsed="false">
      <c r="A167" s="2" t="s">
        <v>14</v>
      </c>
      <c r="B167" s="2" t="n">
        <v>146</v>
      </c>
      <c r="C167" s="2" t="n">
        <v>54</v>
      </c>
      <c r="D167" s="2" t="n">
        <v>41876</v>
      </c>
      <c r="E167" s="2" t="n">
        <v>518</v>
      </c>
      <c r="F167" s="2" t="n">
        <v>974060</v>
      </c>
      <c r="G167" s="2" t="n">
        <v>3576</v>
      </c>
      <c r="H167" s="2" t="s">
        <v>8</v>
      </c>
    </row>
    <row r="168" customFormat="false" ht="15" hidden="false" customHeight="false" outlineLevel="0" collapsed="false">
      <c r="A168" s="2" t="s">
        <v>14</v>
      </c>
      <c r="B168" s="2" t="n">
        <v>147</v>
      </c>
      <c r="C168" s="2" t="n">
        <v>22</v>
      </c>
      <c r="D168" s="2" t="n">
        <v>119095</v>
      </c>
      <c r="E168" s="2" t="n">
        <v>650</v>
      </c>
      <c r="F168" s="2" t="n">
        <v>1377272</v>
      </c>
      <c r="G168" s="2" t="n">
        <v>29202</v>
      </c>
      <c r="H168" s="2" t="s">
        <v>7</v>
      </c>
    </row>
    <row r="169" customFormat="false" ht="15" hidden="false" customHeight="false" outlineLevel="0" collapsed="false">
      <c r="A169" s="2" t="s">
        <v>14</v>
      </c>
      <c r="B169" s="2" t="n">
        <v>148</v>
      </c>
      <c r="C169" s="2" t="n">
        <v>30</v>
      </c>
      <c r="D169" s="2" t="n">
        <v>113284</v>
      </c>
      <c r="E169" s="2" t="n">
        <v>706</v>
      </c>
      <c r="F169" s="2" t="n">
        <v>854655</v>
      </c>
      <c r="G169" s="2" t="n">
        <v>4022</v>
      </c>
      <c r="H169" s="2" t="s">
        <v>7</v>
      </c>
    </row>
    <row r="170" customFormat="false" ht="15" hidden="false" customHeight="false" outlineLevel="0" collapsed="false">
      <c r="A170" s="2" t="s">
        <v>14</v>
      </c>
      <c r="B170" s="2" t="n">
        <v>149</v>
      </c>
      <c r="C170" s="2" t="n">
        <v>53</v>
      </c>
      <c r="D170" s="2" t="n">
        <v>33973</v>
      </c>
      <c r="E170" s="2" t="n">
        <v>680</v>
      </c>
      <c r="F170" s="2" t="n">
        <v>851240</v>
      </c>
      <c r="G170" s="2" t="n">
        <v>28435</v>
      </c>
      <c r="H170" s="2" t="s">
        <v>8</v>
      </c>
    </row>
    <row r="171" customFormat="false" ht="15" hidden="false" customHeight="false" outlineLevel="0" collapsed="false">
      <c r="A171" s="2" t="s">
        <v>14</v>
      </c>
      <c r="B171" s="2" t="n">
        <v>150</v>
      </c>
      <c r="C171" s="2" t="n">
        <v>23</v>
      </c>
      <c r="D171" s="2" t="n">
        <v>32283</v>
      </c>
      <c r="E171" s="2" t="n">
        <v>738</v>
      </c>
      <c r="F171" s="2" t="n">
        <v>478267</v>
      </c>
      <c r="G171" s="2" t="n">
        <v>8342</v>
      </c>
      <c r="H171" s="2" t="s">
        <v>7</v>
      </c>
    </row>
    <row r="172" customFormat="false" ht="15" hidden="false" customHeight="false" outlineLevel="0" collapsed="false">
      <c r="A172" s="2" t="s">
        <v>14</v>
      </c>
      <c r="B172" s="2" t="n">
        <v>151</v>
      </c>
      <c r="C172" s="2" t="n">
        <v>54</v>
      </c>
      <c r="D172" s="2" t="n">
        <v>70981</v>
      </c>
      <c r="E172" s="2" t="n">
        <v>781</v>
      </c>
      <c r="F172" s="2" t="n">
        <v>2407114</v>
      </c>
      <c r="G172" s="2" t="n">
        <v>2802</v>
      </c>
      <c r="H172" s="2" t="s">
        <v>7</v>
      </c>
    </row>
    <row r="173" customFormat="false" ht="15" hidden="false" customHeight="false" outlineLevel="0" collapsed="false">
      <c r="A173" s="2" t="s">
        <v>14</v>
      </c>
      <c r="B173" s="2" t="n">
        <v>152</v>
      </c>
      <c r="C173" s="2" t="n">
        <v>31</v>
      </c>
      <c r="D173" s="2" t="n">
        <v>19715</v>
      </c>
      <c r="E173" s="2" t="n">
        <v>637</v>
      </c>
      <c r="F173" s="2" t="n">
        <v>454680</v>
      </c>
      <c r="G173" s="2" t="n">
        <v>9141</v>
      </c>
      <c r="H173" s="2" t="s">
        <v>8</v>
      </c>
    </row>
    <row r="174" customFormat="false" ht="15" hidden="false" customHeight="false" outlineLevel="0" collapsed="false">
      <c r="A174" s="2" t="s">
        <v>14</v>
      </c>
      <c r="B174" s="2" t="n">
        <v>153</v>
      </c>
      <c r="C174" s="2" t="n">
        <v>56</v>
      </c>
      <c r="D174" s="2" t="n">
        <v>46373</v>
      </c>
      <c r="E174" s="2" t="n">
        <v>789</v>
      </c>
      <c r="F174" s="2" t="n">
        <v>307021</v>
      </c>
      <c r="G174" s="2" t="n">
        <v>18440</v>
      </c>
      <c r="H174" s="2" t="s">
        <v>7</v>
      </c>
    </row>
    <row r="175" customFormat="false" ht="15" hidden="false" customHeight="false" outlineLevel="0" collapsed="false">
      <c r="A175" s="2" t="s">
        <v>14</v>
      </c>
      <c r="B175" s="2" t="n">
        <v>154</v>
      </c>
      <c r="C175" s="2" t="n">
        <v>32</v>
      </c>
      <c r="D175" s="2" t="n">
        <v>60685</v>
      </c>
      <c r="E175" s="2" t="n">
        <v>611</v>
      </c>
      <c r="F175" s="2" t="n">
        <v>2346705</v>
      </c>
      <c r="G175" s="2" t="n">
        <v>12837</v>
      </c>
      <c r="H175" s="2" t="s">
        <v>8</v>
      </c>
    </row>
    <row r="176" customFormat="false" ht="15" hidden="false" customHeight="false" outlineLevel="0" collapsed="false">
      <c r="A176" s="2" t="s">
        <v>14</v>
      </c>
      <c r="B176" s="2" t="n">
        <v>155</v>
      </c>
      <c r="C176" s="2" t="n">
        <v>37</v>
      </c>
      <c r="D176" s="2" t="n">
        <v>116784</v>
      </c>
      <c r="E176" s="2" t="n">
        <v>844</v>
      </c>
      <c r="F176" s="2" t="n">
        <v>1432031</v>
      </c>
      <c r="G176" s="2" t="n">
        <v>23567</v>
      </c>
      <c r="H176" s="2" t="s">
        <v>7</v>
      </c>
    </row>
    <row r="177" customFormat="false" ht="15" hidden="false" customHeight="false" outlineLevel="0" collapsed="false">
      <c r="A177" s="2" t="s">
        <v>14</v>
      </c>
      <c r="B177" s="2" t="n">
        <v>156</v>
      </c>
      <c r="C177" s="2" t="n">
        <v>46</v>
      </c>
      <c r="D177" s="2" t="n">
        <v>119199</v>
      </c>
      <c r="E177" s="2" t="n">
        <v>676</v>
      </c>
      <c r="F177" s="2" t="n">
        <v>1150969</v>
      </c>
      <c r="G177" s="2" t="n">
        <v>18329</v>
      </c>
      <c r="H177" s="2" t="s">
        <v>7</v>
      </c>
    </row>
    <row r="178" customFormat="false" ht="15" hidden="false" customHeight="false" outlineLevel="0" collapsed="false">
      <c r="A178" s="2" t="s">
        <v>14</v>
      </c>
      <c r="B178" s="2" t="n">
        <v>157</v>
      </c>
      <c r="C178" s="2" t="n">
        <v>25</v>
      </c>
      <c r="D178" s="2" t="n">
        <v>30911</v>
      </c>
      <c r="E178" s="2" t="n">
        <v>757</v>
      </c>
      <c r="F178" s="2" t="n">
        <v>1869979</v>
      </c>
      <c r="G178" s="2" t="n">
        <v>12023</v>
      </c>
      <c r="H178" s="2" t="s">
        <v>8</v>
      </c>
    </row>
    <row r="179" customFormat="false" ht="15" hidden="false" customHeight="false" outlineLevel="0" collapsed="false">
      <c r="A179" s="2" t="s">
        <v>14</v>
      </c>
      <c r="B179" s="2" t="n">
        <v>158</v>
      </c>
      <c r="C179" s="2" t="n">
        <v>42</v>
      </c>
      <c r="D179" s="2" t="n">
        <v>108626</v>
      </c>
      <c r="E179" s="2" t="n">
        <v>806</v>
      </c>
      <c r="F179" s="2" t="n">
        <v>1019967</v>
      </c>
      <c r="G179" s="2" t="n">
        <v>19038</v>
      </c>
      <c r="H179" s="2" t="s">
        <v>7</v>
      </c>
    </row>
    <row r="180" customFormat="false" ht="15" hidden="false" customHeight="false" outlineLevel="0" collapsed="false">
      <c r="A180" s="2" t="s">
        <v>14</v>
      </c>
      <c r="B180" s="2" t="n">
        <v>159</v>
      </c>
      <c r="C180" s="2" t="n">
        <v>40</v>
      </c>
      <c r="D180" s="2" t="n">
        <v>24547</v>
      </c>
      <c r="E180" s="2" t="n">
        <v>777</v>
      </c>
      <c r="F180" s="2" t="n">
        <v>407011</v>
      </c>
      <c r="G180" s="2" t="n">
        <v>29143</v>
      </c>
      <c r="H180" s="2" t="s">
        <v>7</v>
      </c>
    </row>
    <row r="181" customFormat="false" ht="15" hidden="false" customHeight="false" outlineLevel="0" collapsed="false">
      <c r="A181" s="2" t="s">
        <v>14</v>
      </c>
      <c r="B181" s="2" t="n">
        <v>160</v>
      </c>
      <c r="C181" s="2" t="n">
        <v>51</v>
      </c>
      <c r="D181" s="2" t="n">
        <v>93603</v>
      </c>
      <c r="E181" s="2" t="n">
        <v>797</v>
      </c>
      <c r="F181" s="2" t="n">
        <v>1851245</v>
      </c>
      <c r="G181" s="2" t="n">
        <v>12354</v>
      </c>
      <c r="H181" s="2" t="s">
        <v>7</v>
      </c>
    </row>
    <row r="182" customFormat="false" ht="15" hidden="false" customHeight="false" outlineLevel="0" collapsed="false">
      <c r="A182" s="2" t="s">
        <v>14</v>
      </c>
      <c r="B182" s="2" t="n">
        <v>161</v>
      </c>
      <c r="C182" s="2" t="n">
        <v>59</v>
      </c>
      <c r="D182" s="2" t="n">
        <v>103792</v>
      </c>
      <c r="E182" s="2" t="n">
        <v>687</v>
      </c>
      <c r="F182" s="2" t="n">
        <v>522398</v>
      </c>
      <c r="G182" s="2" t="n">
        <v>4603</v>
      </c>
      <c r="H182" s="2" t="s">
        <v>7</v>
      </c>
    </row>
    <row r="183" customFormat="false" ht="15" hidden="false" customHeight="false" outlineLevel="0" collapsed="false">
      <c r="A183" s="2" t="s">
        <v>14</v>
      </c>
      <c r="B183" s="2" t="n">
        <v>162</v>
      </c>
      <c r="C183" s="2" t="n">
        <v>46</v>
      </c>
      <c r="D183" s="2" t="n">
        <v>108533</v>
      </c>
      <c r="E183" s="2" t="n">
        <v>515</v>
      </c>
      <c r="F183" s="2" t="n">
        <v>1427183</v>
      </c>
      <c r="G183" s="2" t="n">
        <v>12263</v>
      </c>
      <c r="H183" s="2" t="s">
        <v>7</v>
      </c>
    </row>
    <row r="184" customFormat="false" ht="15" hidden="false" customHeight="false" outlineLevel="0" collapsed="false">
      <c r="A184" s="2" t="s">
        <v>14</v>
      </c>
      <c r="B184" s="2" t="n">
        <v>163</v>
      </c>
      <c r="C184" s="2" t="n">
        <v>36</v>
      </c>
      <c r="D184" s="2" t="n">
        <v>38458</v>
      </c>
      <c r="E184" s="2" t="n">
        <v>672</v>
      </c>
      <c r="F184" s="2" t="n">
        <v>2377758</v>
      </c>
      <c r="G184" s="2" t="n">
        <v>25203</v>
      </c>
      <c r="H184" s="2" t="s">
        <v>8</v>
      </c>
    </row>
    <row r="185" customFormat="false" ht="15" hidden="false" customHeight="false" outlineLevel="0" collapsed="false">
      <c r="A185" s="2" t="s">
        <v>14</v>
      </c>
      <c r="B185" s="2" t="n">
        <v>164</v>
      </c>
      <c r="C185" s="2" t="n">
        <v>36</v>
      </c>
      <c r="D185" s="2" t="n">
        <v>108811</v>
      </c>
      <c r="E185" s="2" t="n">
        <v>563</v>
      </c>
      <c r="F185" s="2" t="n">
        <v>2346735</v>
      </c>
      <c r="G185" s="2" t="n">
        <v>6528</v>
      </c>
      <c r="H185" s="2" t="s">
        <v>7</v>
      </c>
    </row>
    <row r="186" customFormat="false" ht="15" hidden="false" customHeight="false" outlineLevel="0" collapsed="false">
      <c r="A186" s="2" t="s">
        <v>14</v>
      </c>
      <c r="B186" s="2" t="n">
        <v>165</v>
      </c>
      <c r="C186" s="2" t="n">
        <v>37</v>
      </c>
      <c r="D186" s="2" t="n">
        <v>27177</v>
      </c>
      <c r="E186" s="2" t="n">
        <v>811</v>
      </c>
      <c r="F186" s="2" t="n">
        <v>965879</v>
      </c>
      <c r="G186" s="2" t="n">
        <v>28474</v>
      </c>
      <c r="H186" s="2" t="s">
        <v>7</v>
      </c>
    </row>
    <row r="187" customFormat="false" ht="15" hidden="false" customHeight="false" outlineLevel="0" collapsed="false">
      <c r="A187" s="2" t="s">
        <v>14</v>
      </c>
      <c r="B187" s="2" t="n">
        <v>166</v>
      </c>
      <c r="C187" s="2" t="n">
        <v>52</v>
      </c>
      <c r="D187" s="2" t="n">
        <v>69480</v>
      </c>
      <c r="E187" s="2" t="n">
        <v>582</v>
      </c>
      <c r="F187" s="2" t="n">
        <v>1972723</v>
      </c>
      <c r="G187" s="2" t="n">
        <v>17649</v>
      </c>
      <c r="H187" s="2" t="s">
        <v>8</v>
      </c>
    </row>
    <row r="188" customFormat="false" ht="15" hidden="false" customHeight="false" outlineLevel="0" collapsed="false">
      <c r="A188" s="2" t="s">
        <v>14</v>
      </c>
      <c r="B188" s="2" t="n">
        <v>167</v>
      </c>
      <c r="C188" s="2" t="n">
        <v>33</v>
      </c>
      <c r="D188" s="2" t="n">
        <v>64302</v>
      </c>
      <c r="E188" s="2" t="n">
        <v>579</v>
      </c>
      <c r="F188" s="2" t="n">
        <v>1570421</v>
      </c>
      <c r="G188" s="2" t="n">
        <v>18047</v>
      </c>
      <c r="H188" s="2" t="s">
        <v>8</v>
      </c>
    </row>
    <row r="189" customFormat="false" ht="15" hidden="false" customHeight="false" outlineLevel="0" collapsed="false">
      <c r="A189" s="2" t="s">
        <v>14</v>
      </c>
      <c r="B189" s="2" t="n">
        <v>168</v>
      </c>
      <c r="C189" s="2" t="n">
        <v>27</v>
      </c>
      <c r="D189" s="2" t="n">
        <v>48172</v>
      </c>
      <c r="E189" s="2" t="n">
        <v>587</v>
      </c>
      <c r="F189" s="2" t="n">
        <v>1250486</v>
      </c>
      <c r="G189" s="2" t="n">
        <v>9511</v>
      </c>
      <c r="H189" s="2" t="s">
        <v>8</v>
      </c>
    </row>
    <row r="190" customFormat="false" ht="15" hidden="false" customHeight="false" outlineLevel="0" collapsed="false">
      <c r="A190" s="2" t="s">
        <v>14</v>
      </c>
      <c r="B190" s="2" t="n">
        <v>169</v>
      </c>
      <c r="C190" s="2" t="n">
        <v>34</v>
      </c>
      <c r="D190" s="2" t="n">
        <v>17321</v>
      </c>
      <c r="E190" s="2" t="n">
        <v>724</v>
      </c>
      <c r="F190" s="2" t="n">
        <v>435827</v>
      </c>
      <c r="G190" s="2" t="n">
        <v>27613</v>
      </c>
      <c r="H190" s="2" t="s">
        <v>8</v>
      </c>
    </row>
    <row r="191" customFormat="false" ht="15" hidden="false" customHeight="false" outlineLevel="0" collapsed="false">
      <c r="A191" s="2" t="s">
        <v>14</v>
      </c>
      <c r="B191" s="2" t="n">
        <v>170</v>
      </c>
      <c r="C191" s="2" t="n">
        <v>21</v>
      </c>
      <c r="D191" s="2" t="n">
        <v>96061</v>
      </c>
      <c r="E191" s="2" t="n">
        <v>699</v>
      </c>
      <c r="F191" s="2" t="n">
        <v>1003262</v>
      </c>
      <c r="G191" s="2" t="n">
        <v>1081</v>
      </c>
      <c r="H191" s="2" t="s">
        <v>7</v>
      </c>
    </row>
    <row r="192" customFormat="false" ht="15" hidden="false" customHeight="false" outlineLevel="0" collapsed="false">
      <c r="A192" s="2" t="s">
        <v>14</v>
      </c>
      <c r="B192" s="2" t="n">
        <v>171</v>
      </c>
      <c r="C192" s="2" t="n">
        <v>25</v>
      </c>
      <c r="D192" s="2" t="n">
        <v>50236</v>
      </c>
      <c r="E192" s="2" t="n">
        <v>832</v>
      </c>
      <c r="F192" s="2" t="n">
        <v>1664603</v>
      </c>
      <c r="G192" s="2" t="n">
        <v>8960</v>
      </c>
      <c r="H192" s="2" t="s">
        <v>7</v>
      </c>
    </row>
    <row r="193" customFormat="false" ht="15" hidden="false" customHeight="false" outlineLevel="0" collapsed="false">
      <c r="A193" s="2" t="s">
        <v>14</v>
      </c>
      <c r="B193" s="2" t="n">
        <v>172</v>
      </c>
      <c r="C193" s="2" t="n">
        <v>24</v>
      </c>
      <c r="D193" s="2" t="n">
        <v>84474</v>
      </c>
      <c r="E193" s="2" t="n">
        <v>645</v>
      </c>
      <c r="F193" s="2" t="n">
        <v>2467915</v>
      </c>
      <c r="G193" s="2" t="n">
        <v>12552</v>
      </c>
      <c r="H193" s="2" t="s">
        <v>7</v>
      </c>
    </row>
    <row r="194" customFormat="false" ht="15" hidden="false" customHeight="false" outlineLevel="0" collapsed="false">
      <c r="A194" s="2" t="s">
        <v>14</v>
      </c>
      <c r="B194" s="2" t="n">
        <v>173</v>
      </c>
      <c r="C194" s="2" t="n">
        <v>51</v>
      </c>
      <c r="D194" s="2" t="n">
        <v>58073</v>
      </c>
      <c r="E194" s="2" t="n">
        <v>598</v>
      </c>
      <c r="F194" s="2" t="n">
        <v>111737</v>
      </c>
      <c r="G194" s="2" t="n">
        <v>14318</v>
      </c>
      <c r="H194" s="2" t="s">
        <v>7</v>
      </c>
    </row>
    <row r="195" customFormat="false" ht="15" hidden="false" customHeight="false" outlineLevel="0" collapsed="false">
      <c r="A195" s="2" t="s">
        <v>14</v>
      </c>
      <c r="B195" s="2" t="n">
        <v>174</v>
      </c>
      <c r="C195" s="2" t="n">
        <v>49</v>
      </c>
      <c r="D195" s="2" t="n">
        <v>54234</v>
      </c>
      <c r="E195" s="2" t="n">
        <v>517</v>
      </c>
      <c r="F195" s="2" t="n">
        <v>1822624</v>
      </c>
      <c r="G195" s="2" t="n">
        <v>14223</v>
      </c>
      <c r="H195" s="2" t="s">
        <v>8</v>
      </c>
    </row>
    <row r="196" customFormat="false" ht="15" hidden="false" customHeight="false" outlineLevel="0" collapsed="false">
      <c r="A196" s="2" t="s">
        <v>14</v>
      </c>
      <c r="B196" s="2" t="n">
        <v>175</v>
      </c>
      <c r="C196" s="2" t="n">
        <v>48</v>
      </c>
      <c r="D196" s="2" t="n">
        <v>108061</v>
      </c>
      <c r="E196" s="2" t="n">
        <v>502</v>
      </c>
      <c r="F196" s="2" t="n">
        <v>2131208</v>
      </c>
      <c r="G196" s="2" t="n">
        <v>4437</v>
      </c>
      <c r="H196" s="2" t="s">
        <v>7</v>
      </c>
    </row>
    <row r="197" customFormat="false" ht="15" hidden="false" customHeight="false" outlineLevel="0" collapsed="false">
      <c r="A197" s="2" t="s">
        <v>14</v>
      </c>
      <c r="B197" s="2" t="n">
        <v>176</v>
      </c>
      <c r="C197" s="2" t="n">
        <v>39</v>
      </c>
      <c r="D197" s="2" t="n">
        <v>24919</v>
      </c>
      <c r="E197" s="2" t="n">
        <v>630</v>
      </c>
      <c r="F197" s="2" t="n">
        <v>2382867</v>
      </c>
      <c r="G197" s="2" t="n">
        <v>6767</v>
      </c>
      <c r="H197" s="2" t="s">
        <v>8</v>
      </c>
    </row>
    <row r="198" customFormat="false" ht="15" hidden="false" customHeight="false" outlineLevel="0" collapsed="false">
      <c r="A198" s="2" t="s">
        <v>14</v>
      </c>
      <c r="B198" s="2" t="n">
        <v>177</v>
      </c>
      <c r="C198" s="2" t="n">
        <v>48</v>
      </c>
      <c r="D198" s="2" t="n">
        <v>92344</v>
      </c>
      <c r="E198" s="2" t="n">
        <v>824</v>
      </c>
      <c r="F198" s="2" t="n">
        <v>1117128</v>
      </c>
      <c r="G198" s="2" t="n">
        <v>2857</v>
      </c>
      <c r="H198" s="2" t="s">
        <v>7</v>
      </c>
    </row>
    <row r="199" customFormat="false" ht="15" hidden="false" customHeight="false" outlineLevel="0" collapsed="false">
      <c r="A199" s="2" t="s">
        <v>14</v>
      </c>
      <c r="B199" s="2" t="n">
        <v>178</v>
      </c>
      <c r="C199" s="2" t="n">
        <v>27</v>
      </c>
      <c r="D199" s="2" t="n">
        <v>93412</v>
      </c>
      <c r="E199" s="2" t="n">
        <v>683</v>
      </c>
      <c r="F199" s="2" t="n">
        <v>384348</v>
      </c>
      <c r="G199" s="2" t="n">
        <v>17173</v>
      </c>
      <c r="H199" s="2" t="s">
        <v>7</v>
      </c>
    </row>
    <row r="200" customFormat="false" ht="15" hidden="false" customHeight="false" outlineLevel="0" collapsed="false">
      <c r="A200" s="2" t="s">
        <v>14</v>
      </c>
      <c r="B200" s="2" t="n">
        <v>179</v>
      </c>
      <c r="C200" s="2" t="n">
        <v>56</v>
      </c>
      <c r="D200" s="2" t="n">
        <v>54899</v>
      </c>
      <c r="E200" s="2" t="n">
        <v>812</v>
      </c>
      <c r="F200" s="2" t="n">
        <v>750321</v>
      </c>
      <c r="G200" s="2" t="n">
        <v>10526</v>
      </c>
      <c r="H200" s="2" t="s">
        <v>7</v>
      </c>
    </row>
    <row r="201" customFormat="false" ht="15" hidden="false" customHeight="false" outlineLevel="0" collapsed="false">
      <c r="A201" s="2" t="s">
        <v>14</v>
      </c>
      <c r="B201" s="2" t="n">
        <v>180</v>
      </c>
      <c r="C201" s="2" t="n">
        <v>40</v>
      </c>
      <c r="D201" s="2" t="n">
        <v>42558</v>
      </c>
      <c r="E201" s="2" t="n">
        <v>535</v>
      </c>
      <c r="F201" s="2" t="n">
        <v>2141280</v>
      </c>
      <c r="G201" s="2" t="n">
        <v>16973</v>
      </c>
      <c r="H201" s="2" t="s">
        <v>8</v>
      </c>
    </row>
    <row r="202" customFormat="false" ht="15" hidden="false" customHeight="false" outlineLevel="0" collapsed="false">
      <c r="A202" s="2" t="s">
        <v>14</v>
      </c>
      <c r="B202" s="2" t="n">
        <v>181</v>
      </c>
      <c r="C202" s="2" t="n">
        <v>57</v>
      </c>
      <c r="D202" s="2" t="n">
        <v>15557</v>
      </c>
      <c r="E202" s="2" t="n">
        <v>532</v>
      </c>
      <c r="F202" s="2" t="n">
        <v>2207043</v>
      </c>
      <c r="G202" s="2" t="n">
        <v>17691</v>
      </c>
      <c r="H202" s="2" t="s">
        <v>8</v>
      </c>
    </row>
    <row r="203" customFormat="false" ht="15" hidden="false" customHeight="false" outlineLevel="0" collapsed="false">
      <c r="A203" s="2" t="s">
        <v>14</v>
      </c>
      <c r="B203" s="2" t="n">
        <v>182</v>
      </c>
      <c r="C203" s="2" t="n">
        <v>26</v>
      </c>
      <c r="D203" s="2" t="n">
        <v>113365</v>
      </c>
      <c r="E203" s="2" t="n">
        <v>791</v>
      </c>
      <c r="F203" s="2" t="n">
        <v>1628977</v>
      </c>
      <c r="G203" s="2" t="n">
        <v>21060</v>
      </c>
      <c r="H203" s="2" t="s">
        <v>7</v>
      </c>
    </row>
    <row r="204" customFormat="false" ht="15" hidden="false" customHeight="false" outlineLevel="0" collapsed="false">
      <c r="A204" s="2" t="s">
        <v>14</v>
      </c>
      <c r="B204" s="2" t="n">
        <v>183</v>
      </c>
      <c r="C204" s="2" t="n">
        <v>40</v>
      </c>
      <c r="D204" s="2" t="n">
        <v>114511</v>
      </c>
      <c r="E204" s="2" t="n">
        <v>537</v>
      </c>
      <c r="F204" s="2" t="n">
        <v>394577</v>
      </c>
      <c r="G204" s="2" t="n">
        <v>16411</v>
      </c>
      <c r="H204" s="2" t="s">
        <v>7</v>
      </c>
    </row>
    <row r="205" customFormat="false" ht="15" hidden="false" customHeight="false" outlineLevel="0" collapsed="false">
      <c r="A205" s="2" t="s">
        <v>14</v>
      </c>
      <c r="B205" s="2" t="n">
        <v>184</v>
      </c>
      <c r="C205" s="2" t="n">
        <v>48</v>
      </c>
      <c r="D205" s="2" t="n">
        <v>40301</v>
      </c>
      <c r="E205" s="2" t="n">
        <v>518</v>
      </c>
      <c r="F205" s="2" t="n">
        <v>392612</v>
      </c>
      <c r="G205" s="2" t="n">
        <v>19438</v>
      </c>
      <c r="H205" s="2" t="s">
        <v>8</v>
      </c>
    </row>
    <row r="206" customFormat="false" ht="15" hidden="false" customHeight="false" outlineLevel="0" collapsed="false">
      <c r="A206" s="2" t="s">
        <v>14</v>
      </c>
      <c r="B206" s="2" t="n">
        <v>185</v>
      </c>
      <c r="C206" s="2" t="n">
        <v>40</v>
      </c>
      <c r="D206" s="2" t="n">
        <v>18350</v>
      </c>
      <c r="E206" s="2" t="n">
        <v>641</v>
      </c>
      <c r="F206" s="2" t="n">
        <v>1247613</v>
      </c>
      <c r="G206" s="2" t="n">
        <v>17614</v>
      </c>
      <c r="H206" s="2" t="s">
        <v>8</v>
      </c>
    </row>
    <row r="207" customFormat="false" ht="15" hidden="false" customHeight="false" outlineLevel="0" collapsed="false">
      <c r="A207" s="2" t="s">
        <v>14</v>
      </c>
      <c r="B207" s="2" t="n">
        <v>186</v>
      </c>
      <c r="C207" s="2" t="n">
        <v>38</v>
      </c>
      <c r="D207" s="2" t="n">
        <v>27889</v>
      </c>
      <c r="E207" s="2" t="n">
        <v>823</v>
      </c>
      <c r="F207" s="2" t="n">
        <v>1511819</v>
      </c>
      <c r="G207" s="2" t="n">
        <v>19572</v>
      </c>
      <c r="H207" s="2" t="s">
        <v>7</v>
      </c>
    </row>
    <row r="208" customFormat="false" ht="15" hidden="false" customHeight="false" outlineLevel="0" collapsed="false">
      <c r="A208" s="2" t="s">
        <v>14</v>
      </c>
      <c r="B208" s="2" t="n">
        <v>187</v>
      </c>
      <c r="C208" s="2" t="n">
        <v>27</v>
      </c>
      <c r="D208" s="2" t="n">
        <v>22102</v>
      </c>
      <c r="E208" s="2" t="n">
        <v>741</v>
      </c>
      <c r="F208" s="2" t="n">
        <v>177708</v>
      </c>
      <c r="G208" s="2" t="n">
        <v>18499</v>
      </c>
      <c r="H208" s="2" t="s">
        <v>7</v>
      </c>
    </row>
    <row r="209" customFormat="false" ht="15" hidden="false" customHeight="false" outlineLevel="0" collapsed="false">
      <c r="A209" s="2" t="s">
        <v>14</v>
      </c>
      <c r="B209" s="2" t="n">
        <v>188</v>
      </c>
      <c r="C209" s="2" t="n">
        <v>35</v>
      </c>
      <c r="D209" s="2" t="n">
        <v>102266</v>
      </c>
      <c r="E209" s="2" t="n">
        <v>534</v>
      </c>
      <c r="F209" s="2" t="n">
        <v>1746631</v>
      </c>
      <c r="G209" s="2" t="n">
        <v>9486</v>
      </c>
      <c r="H209" s="2" t="s">
        <v>7</v>
      </c>
    </row>
    <row r="210" customFormat="false" ht="15" hidden="false" customHeight="false" outlineLevel="0" collapsed="false">
      <c r="A210" s="2" t="s">
        <v>14</v>
      </c>
      <c r="B210" s="2" t="n">
        <v>189</v>
      </c>
      <c r="C210" s="2" t="n">
        <v>30</v>
      </c>
      <c r="D210" s="2" t="n">
        <v>108650</v>
      </c>
      <c r="E210" s="2" t="n">
        <v>792</v>
      </c>
      <c r="F210" s="2" t="n">
        <v>1406824</v>
      </c>
      <c r="G210" s="2" t="n">
        <v>7388</v>
      </c>
      <c r="H210" s="2" t="s">
        <v>7</v>
      </c>
    </row>
    <row r="211" customFormat="false" ht="15" hidden="false" customHeight="false" outlineLevel="0" collapsed="false">
      <c r="A211" s="2" t="s">
        <v>14</v>
      </c>
      <c r="B211" s="2" t="n">
        <v>190</v>
      </c>
      <c r="C211" s="2" t="n">
        <v>32</v>
      </c>
      <c r="D211" s="2" t="n">
        <v>31094</v>
      </c>
      <c r="E211" s="2" t="n">
        <v>795</v>
      </c>
      <c r="F211" s="2" t="n">
        <v>129526</v>
      </c>
      <c r="G211" s="2" t="n">
        <v>23622</v>
      </c>
      <c r="H211" s="2" t="s">
        <v>7</v>
      </c>
    </row>
    <row r="212" customFormat="false" ht="15" hidden="false" customHeight="false" outlineLevel="0" collapsed="false">
      <c r="A212" s="2" t="s">
        <v>14</v>
      </c>
      <c r="B212" s="2" t="n">
        <v>191</v>
      </c>
      <c r="C212" s="2" t="n">
        <v>47</v>
      </c>
      <c r="D212" s="2" t="n">
        <v>93407</v>
      </c>
      <c r="E212" s="2" t="n">
        <v>780</v>
      </c>
      <c r="F212" s="2" t="n">
        <v>329626</v>
      </c>
      <c r="G212" s="2" t="n">
        <v>10281</v>
      </c>
      <c r="H212" s="2" t="s">
        <v>7</v>
      </c>
    </row>
    <row r="213" customFormat="false" ht="15" hidden="false" customHeight="false" outlineLevel="0" collapsed="false">
      <c r="A213" s="2" t="s">
        <v>14</v>
      </c>
      <c r="B213" s="2" t="n">
        <v>192</v>
      </c>
      <c r="C213" s="2" t="n">
        <v>45</v>
      </c>
      <c r="D213" s="2" t="n">
        <v>33823</v>
      </c>
      <c r="E213" s="2" t="n">
        <v>815</v>
      </c>
      <c r="F213" s="2" t="n">
        <v>1190363</v>
      </c>
      <c r="G213" s="2" t="n">
        <v>16474</v>
      </c>
      <c r="H213" s="2" t="s">
        <v>7</v>
      </c>
    </row>
    <row r="214" customFormat="false" ht="15" hidden="false" customHeight="false" outlineLevel="0" collapsed="false">
      <c r="A214" s="2" t="s">
        <v>14</v>
      </c>
      <c r="B214" s="2" t="n">
        <v>193</v>
      </c>
      <c r="C214" s="2" t="n">
        <v>44</v>
      </c>
      <c r="D214" s="2" t="n">
        <v>53556</v>
      </c>
      <c r="E214" s="2" t="n">
        <v>583</v>
      </c>
      <c r="F214" s="2" t="n">
        <v>1834205</v>
      </c>
      <c r="G214" s="2" t="n">
        <v>5909</v>
      </c>
      <c r="H214" s="2" t="s">
        <v>8</v>
      </c>
    </row>
    <row r="215" customFormat="false" ht="15" hidden="false" customHeight="false" outlineLevel="0" collapsed="false">
      <c r="A215" s="2" t="s">
        <v>14</v>
      </c>
      <c r="B215" s="2" t="n">
        <v>194</v>
      </c>
      <c r="C215" s="2" t="n">
        <v>35</v>
      </c>
      <c r="D215" s="2" t="n">
        <v>77935</v>
      </c>
      <c r="E215" s="2" t="n">
        <v>842</v>
      </c>
      <c r="F215" s="2" t="n">
        <v>2080958</v>
      </c>
      <c r="G215" s="2" t="n">
        <v>12942</v>
      </c>
      <c r="H215" s="2" t="s">
        <v>7</v>
      </c>
    </row>
    <row r="216" customFormat="false" ht="15" hidden="false" customHeight="false" outlineLevel="0" collapsed="false">
      <c r="A216" s="2" t="s">
        <v>14</v>
      </c>
      <c r="B216" s="2" t="n">
        <v>195</v>
      </c>
      <c r="C216" s="2" t="n">
        <v>58</v>
      </c>
      <c r="D216" s="2" t="n">
        <v>90592</v>
      </c>
      <c r="E216" s="2" t="n">
        <v>612</v>
      </c>
      <c r="F216" s="2" t="n">
        <v>1135123</v>
      </c>
      <c r="G216" s="2" t="n">
        <v>15889</v>
      </c>
      <c r="H216" s="2" t="s">
        <v>7</v>
      </c>
    </row>
    <row r="217" customFormat="false" ht="15" hidden="false" customHeight="false" outlineLevel="0" collapsed="false">
      <c r="A217" s="2" t="s">
        <v>14</v>
      </c>
      <c r="B217" s="2" t="n">
        <v>196</v>
      </c>
      <c r="C217" s="2" t="n">
        <v>24</v>
      </c>
      <c r="D217" s="2" t="n">
        <v>106829</v>
      </c>
      <c r="E217" s="2" t="n">
        <v>780</v>
      </c>
      <c r="F217" s="2" t="n">
        <v>808861</v>
      </c>
      <c r="G217" s="2" t="n">
        <v>18780</v>
      </c>
      <c r="H217" s="2" t="s">
        <v>7</v>
      </c>
    </row>
    <row r="218" customFormat="false" ht="15" hidden="false" customHeight="false" outlineLevel="0" collapsed="false">
      <c r="A218" s="2" t="s">
        <v>14</v>
      </c>
      <c r="B218" s="2" t="n">
        <v>197</v>
      </c>
      <c r="C218" s="2" t="n">
        <v>34</v>
      </c>
      <c r="D218" s="2" t="n">
        <v>19702</v>
      </c>
      <c r="E218" s="2" t="n">
        <v>702</v>
      </c>
      <c r="F218" s="2" t="n">
        <v>2423944</v>
      </c>
      <c r="G218" s="2" t="n">
        <v>15791</v>
      </c>
      <c r="H218" s="2" t="s">
        <v>8</v>
      </c>
    </row>
    <row r="219" customFormat="false" ht="15" hidden="false" customHeight="false" outlineLevel="0" collapsed="false">
      <c r="A219" s="2" t="s">
        <v>14</v>
      </c>
      <c r="B219" s="2" t="n">
        <v>198</v>
      </c>
      <c r="C219" s="2" t="n">
        <v>25</v>
      </c>
      <c r="D219" s="2" t="n">
        <v>35625</v>
      </c>
      <c r="E219" s="2" t="n">
        <v>772</v>
      </c>
      <c r="F219" s="2" t="n">
        <v>1200515</v>
      </c>
      <c r="G219" s="2" t="n">
        <v>10819</v>
      </c>
      <c r="H219" s="2" t="s">
        <v>7</v>
      </c>
    </row>
    <row r="220" customFormat="false" ht="15" hidden="false" customHeight="false" outlineLevel="0" collapsed="false">
      <c r="A220" s="2" t="s">
        <v>14</v>
      </c>
      <c r="B220" s="2" t="n">
        <v>199</v>
      </c>
      <c r="C220" s="2" t="n">
        <v>34</v>
      </c>
      <c r="D220" s="2" t="n">
        <v>44453</v>
      </c>
      <c r="E220" s="2" t="n">
        <v>719</v>
      </c>
      <c r="F220" s="2" t="n">
        <v>856935</v>
      </c>
      <c r="G220" s="2" t="n">
        <v>28853</v>
      </c>
      <c r="H220" s="2" t="s">
        <v>7</v>
      </c>
    </row>
    <row r="221" customFormat="false" ht="15" hidden="false" customHeight="false" outlineLevel="0" collapsed="false">
      <c r="A221" s="2" t="s">
        <v>14</v>
      </c>
      <c r="B221" s="2" t="n">
        <v>200</v>
      </c>
      <c r="C221" s="2" t="n">
        <v>58</v>
      </c>
      <c r="D221" s="2" t="n">
        <v>47583</v>
      </c>
      <c r="E221" s="2" t="n">
        <v>724</v>
      </c>
      <c r="F221" s="2" t="n">
        <v>1161553</v>
      </c>
      <c r="G221" s="2" t="n">
        <v>15382</v>
      </c>
      <c r="H221" s="2" t="s">
        <v>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2026-09-29T05:24:34Z</dcterms:created>
  <dc:creator/>
  <dc:description/>
  <dc:language>en-US</dc:language>
  <cp:lastModifiedBy/>
  <dcterms:modified xsi:type="dcterms:W3CDTF">2026-10-05T02:54:47Z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